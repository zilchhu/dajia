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firstSheet="1" activeTab="1"/>
  </bookViews>
  <sheets>
    <sheet name="美团导出菜单" sheetId="13" state="hidden" r:id="rId1"/>
    <sheet name="Sheet1 (2)" sheetId="15" r:id="rId2"/>
  </sheets>
  <externalReferences>
    <externalReference r:id="rId3"/>
  </externalReferences>
  <definedNames>
    <definedName name="_xlnm._FilterDatabase" localSheetId="0" hidden="1">美团导出菜单!$A$1:$P$189</definedName>
    <definedName name="_xlnm._FilterDatabase" localSheetId="1" hidden="1">'Sheet1 (2)'!$A$2:$I$22</definedName>
  </definedNames>
  <calcPr calcId="144525"/>
</workbook>
</file>

<file path=xl/sharedStrings.xml><?xml version="1.0" encoding="utf-8"?>
<sst xmlns="http://schemas.openxmlformats.org/spreadsheetml/2006/main" count="633" uniqueCount="246">
  <si>
    <t>门店id</t>
  </si>
  <si>
    <t>店名</t>
  </si>
  <si>
    <t>餐品id</t>
  </si>
  <si>
    <t>分类名</t>
  </si>
  <si>
    <t>品名</t>
  </si>
  <si>
    <t>原价</t>
  </si>
  <si>
    <t>修改后原价</t>
  </si>
  <si>
    <t>折扣价</t>
  </si>
  <si>
    <t>修改后折扣</t>
  </si>
  <si>
    <t>每单折扣限购</t>
  </si>
  <si>
    <t>餐盒费</t>
  </si>
  <si>
    <t>起购数</t>
  </si>
  <si>
    <t>销量</t>
  </si>
  <si>
    <t>古御贡茶•手抓饼•小吃（罗湖草埔店）</t>
  </si>
  <si>
    <t>❣️❣️❣️福利社</t>
  </si>
  <si>
    <t>0元购【炸鱼蛋】每单限购1粒（单点不送）</t>
  </si>
  <si>
    <t>0元购【地瓜丸】每单限购1个（单点不送）</t>
  </si>
  <si>
    <t>台湾手抓饼</t>
  </si>
  <si>
    <t>台湾手抓饼（三拼）</t>
  </si>
  <si>
    <t>必抢折扣</t>
  </si>
  <si>
    <t>波霸珍珠奶茶(免费升级)$</t>
  </si>
  <si>
    <t>台湾手抓饼(三拼)</t>
  </si>
  <si>
    <t>招牌烧仙草</t>
  </si>
  <si>
    <t>风味小吃</t>
  </si>
  <si>
    <t>火山石烤纯肉肠(肉肉哦)【1根】$（必抢）</t>
  </si>
  <si>
    <t>长沙臭豆腐$(必抢)</t>
  </si>
  <si>
    <t>精选奶茶</t>
  </si>
  <si>
    <t>招牌烧仙草(料多好味道)</t>
  </si>
  <si>
    <t>网红柠檬鸡爪【4小个】$</t>
  </si>
  <si>
    <t>波霸珍珠奶茶</t>
  </si>
  <si>
    <t>招牌水果茶(推荐！)$</t>
  </si>
  <si>
    <t>正宗重庆酸辣粉【麻辣酸爽】</t>
  </si>
  <si>
    <t>日式章鱼小丸子4个（风靡）$</t>
  </si>
  <si>
    <t>招牌芋圆【超人气推荐】$</t>
  </si>
  <si>
    <t>韩式烤冷面</t>
  </si>
  <si>
    <t>培根烤冷面</t>
  </si>
  <si>
    <t>波霸珍珠奶茶【大杯】$</t>
  </si>
  <si>
    <t>香辣翅根【1个】$</t>
  </si>
  <si>
    <t>火腿烤冷面$</t>
  </si>
  <si>
    <t>台湾手抓饼（双拼）</t>
  </si>
  <si>
    <t>黑糖珍珠奶茶$(必抢)（外卖不挂杯属于正常现象）</t>
  </si>
  <si>
    <t>香港车仔面</t>
  </si>
  <si>
    <t>双蛋烤冷面</t>
  </si>
  <si>
    <t>椰果奶茶</t>
  </si>
  <si>
    <t>炸薯条$（必抢）</t>
  </si>
  <si>
    <t>奥尔良烤翅(对翅)$</t>
  </si>
  <si>
    <t>骨肉相连(3串)</t>
  </si>
  <si>
    <t>泰香虾饼【1个】$（必抢）</t>
  </si>
  <si>
    <t>相思红豆奶茶(必抢)$</t>
  </si>
  <si>
    <t>狼牙土豆$</t>
  </si>
  <si>
    <t>奶盖贡茶</t>
  </si>
  <si>
    <t>熊猫奶盖茶$</t>
  </si>
  <si>
    <t>血糯米奶茶(免费升级)$</t>
  </si>
  <si>
    <t>草莓脏脏茶(外卖不挂杯属正常现象)</t>
  </si>
  <si>
    <t>上校鸡块（5块）</t>
  </si>
  <si>
    <t>台湾盐酥鸡$（必抢）</t>
  </si>
  <si>
    <t>加料区不单装</t>
  </si>
  <si>
    <t>加料·彩椰果(不单装)(单点不送)</t>
  </si>
  <si>
    <t>格雷三兄弟</t>
  </si>
  <si>
    <t>【热销】螺蛳粉$</t>
  </si>
  <si>
    <t>金桔柠檬茶(酸甜)$</t>
  </si>
  <si>
    <t>夏日特饮</t>
  </si>
  <si>
    <t>草莓脏脏茶(外卖不挂杯属于正常现象)</t>
  </si>
  <si>
    <t>鲜果铭茶</t>
  </si>
  <si>
    <t>招牌水果茶</t>
  </si>
  <si>
    <t>乌冬面</t>
  </si>
  <si>
    <t>加料·爆爆蛋(不单装)(单点不送)</t>
  </si>
  <si>
    <t>红豆布丁奶茶</t>
  </si>
  <si>
    <t>金桔柠檬茶(酸甜)</t>
  </si>
  <si>
    <t>加料·布丁(不单装)(单点不送)</t>
  </si>
  <si>
    <t>双拼奶茶(必抢)$</t>
  </si>
  <si>
    <t>川香鸡柳【1根】$（单点不配送）</t>
  </si>
  <si>
    <t>香芋地瓜丸【6个】</t>
  </si>
  <si>
    <t>肉馅锅盔</t>
  </si>
  <si>
    <t>招牌梅干菜锅盔（推荐）</t>
  </si>
  <si>
    <t>椰汁糕【4块】$（必抢）</t>
  </si>
  <si>
    <t>豆乳玉麒麟</t>
  </si>
  <si>
    <t>芋圆烧仙草奶茶$</t>
  </si>
  <si>
    <t>招牌鲜肉锅盔（鲜香）$</t>
  </si>
  <si>
    <t>酱拌刀削面$</t>
  </si>
  <si>
    <t>原味奶茶(纯奶茶)</t>
  </si>
  <si>
    <t>加料·珍珠(不单装)(单点不送)</t>
  </si>
  <si>
    <t>奥利奥奶茶$</t>
  </si>
  <si>
    <t>双拼奶茶</t>
  </si>
  <si>
    <t>咖喱鱼丸【6个】</t>
  </si>
  <si>
    <t>肉松烤冷面【酸甜味】</t>
  </si>
  <si>
    <t>芒果脏脏茶(外卖不挂杯属于正常现象)</t>
  </si>
  <si>
    <t>潮汕牛筋丸【5个】</t>
  </si>
  <si>
    <t>复古蛋糕奶茶(外卖不挂杯属正常现象)</t>
  </si>
  <si>
    <t>多肉葡萄【大杯】$</t>
  </si>
  <si>
    <t>香米抹茶红豆</t>
  </si>
  <si>
    <t>草莓脏脏茶【大杯】(外卖不挂杯属于正常现象)$</t>
  </si>
  <si>
    <t>香米椰奶红豆</t>
  </si>
  <si>
    <t>鲜百香双响炮(大杯)$</t>
  </si>
  <si>
    <t>杨枝甘露$</t>
  </si>
  <si>
    <t>加料·红豆(不单装)(单点不送)</t>
  </si>
  <si>
    <t>格雷三兄弟$</t>
  </si>
  <si>
    <t>麻薯奶茶</t>
  </si>
  <si>
    <t>冰鲜柠檬水(大杯)$</t>
  </si>
  <si>
    <t>寒天爱玉</t>
  </si>
  <si>
    <t>仙草冻奶茶</t>
  </si>
  <si>
    <t>金钻奶茶</t>
  </si>
  <si>
    <t>奥利奥奶茶</t>
  </si>
  <si>
    <t>炸双皮奶【3个】</t>
  </si>
  <si>
    <t>爆浆红糖糍粑【3根】</t>
  </si>
  <si>
    <t>芒果鲜果茶</t>
  </si>
  <si>
    <t>芝士葡萄(免费升级)</t>
  </si>
  <si>
    <t>血糯米奶茶(大杯)</t>
  </si>
  <si>
    <t>草莓优酪多</t>
  </si>
  <si>
    <t>网红烤奶$</t>
  </si>
  <si>
    <t>粉面系列</t>
  </si>
  <si>
    <t>车仔面+咖喱鱼丸5粒$</t>
  </si>
  <si>
    <t>百香果绿茶</t>
  </si>
  <si>
    <t>酸辣粉+牛筋丸4粒$</t>
  </si>
  <si>
    <t>车仔面+火山石纯肉烤肠1根$</t>
  </si>
  <si>
    <t>挑战火鸡面.怕辣慎点【拌面不带汤】$</t>
  </si>
  <si>
    <t>创意特饮</t>
  </si>
  <si>
    <t>芒果欧蕾</t>
  </si>
  <si>
    <t>鲜柠红茶</t>
  </si>
  <si>
    <t>加料·仙草冻(不单装)(单点不送)</t>
  </si>
  <si>
    <t>金时布丁抹茶</t>
  </si>
  <si>
    <t>香葱烤冷面</t>
  </si>
  <si>
    <t>荔枝蜜桃鲜果</t>
  </si>
  <si>
    <t>满杯百香果(大杯)$</t>
  </si>
  <si>
    <t>优格芒果爆爆蛋</t>
  </si>
  <si>
    <t>甜糯汤圆</t>
  </si>
  <si>
    <t>清水汤圆【8颗】$</t>
  </si>
  <si>
    <t>加料·奥利奥(不单装)(单点不送)</t>
  </si>
  <si>
    <t>柠檬青桔茶</t>
  </si>
  <si>
    <t>加料·彩虹小芋圆（单点不送）</t>
  </si>
  <si>
    <t>芝士葡萄【大杯】$</t>
  </si>
  <si>
    <t>红豆鲜奶$</t>
  </si>
  <si>
    <t>法式焦糖烤布蕾$（单点不配送）</t>
  </si>
  <si>
    <t>优格芒果爆爆蛋$</t>
  </si>
  <si>
    <t>葱油饼</t>
  </si>
  <si>
    <t>鲜草莓芭乐</t>
  </si>
  <si>
    <t>贡茶热饮</t>
  </si>
  <si>
    <t>蜂蜜柚子茶</t>
  </si>
  <si>
    <t>桂圆红枣枸杞鲜奶</t>
  </si>
  <si>
    <t>加料·寒天(不单装)(单点不送)</t>
  </si>
  <si>
    <t>珍珠抹茶奶盖茶</t>
  </si>
  <si>
    <t>客家薯饼【1个】$</t>
  </si>
  <si>
    <t>一点点奶茶$</t>
  </si>
  <si>
    <t>寒天爱玉$</t>
  </si>
  <si>
    <t>蜜桃乌龙$(必抢)</t>
  </si>
  <si>
    <t>香米阿华田</t>
  </si>
  <si>
    <t>菊花蜜柚茶</t>
  </si>
  <si>
    <t>红豆鲜奶</t>
  </si>
  <si>
    <t>茶香奶绿</t>
  </si>
  <si>
    <t>加料·脆啵啵(不单装)(单点不送)</t>
  </si>
  <si>
    <t>棉花糖恋可可</t>
  </si>
  <si>
    <t>血糯米奶茶(新品必抢)$</t>
  </si>
  <si>
    <t>手打柠檬红茶(大杯)$</t>
  </si>
  <si>
    <t>双杯满减</t>
  </si>
  <si>
    <t>相思红豆奶茶【两杯，注意是两杯哦】</t>
  </si>
  <si>
    <t>布丁奶茶</t>
  </si>
  <si>
    <t>碳烧黑糖冻奶茶</t>
  </si>
  <si>
    <t>吮指脆皮鸡腿$</t>
  </si>
  <si>
    <t>百香果益力多</t>
  </si>
  <si>
    <t>绿豆沙$</t>
  </si>
  <si>
    <t>汤圆椰汁西米露</t>
  </si>
  <si>
    <t>桂圆红枣枸杞茶</t>
  </si>
  <si>
    <t>桂圆红枣生姜茶</t>
  </si>
  <si>
    <t>珍珠奶盖茶</t>
  </si>
  <si>
    <t>北海布丁秀</t>
  </si>
  <si>
    <t>熊猫果茶</t>
  </si>
  <si>
    <t>乌冬面+牛筋丸4粒$</t>
  </si>
  <si>
    <t>双打柠檬红(大杯)$</t>
  </si>
  <si>
    <t>超值组合</t>
  </si>
  <si>
    <t>芒果益力多</t>
  </si>
  <si>
    <t>波霸珍珠奶茶【两杯，注意是两杯哦】</t>
  </si>
  <si>
    <t>红豆沙$</t>
  </si>
  <si>
    <t>黑钻奶茶</t>
  </si>
  <si>
    <t>抹茶奶盖茶</t>
  </si>
  <si>
    <t>寒天山楂洛神</t>
  </si>
  <si>
    <t>熊猫奶盖茶【两杯，注意是两杯哦】</t>
  </si>
  <si>
    <t>椰奶汤圆【8颗】</t>
  </si>
  <si>
    <t>菊花雪梨茶</t>
  </si>
  <si>
    <t>奶盖茶</t>
  </si>
  <si>
    <t>手打柠檬绿茶(大杯)$</t>
  </si>
  <si>
    <t>芒果欧蕾$</t>
  </si>
  <si>
    <t>红芭乐优酪多</t>
  </si>
  <si>
    <t>酸辣粉+双拼手抓饼</t>
  </si>
  <si>
    <t>柠檬益力多</t>
  </si>
  <si>
    <t>芒果欧蕾【两杯，注意是两杯哦】</t>
  </si>
  <si>
    <t>金桔柠檬茶【两杯，注意是两杯哦】</t>
  </si>
  <si>
    <t>格雷三兄弟【两杯，注意是两杯哦】</t>
  </si>
  <si>
    <t>冲绳黑钻霸</t>
  </si>
  <si>
    <t>黄金椰蓉饼</t>
  </si>
  <si>
    <t>玄米抹茶奶盖茶</t>
  </si>
  <si>
    <t>熊猫果茶(推荐)$</t>
  </si>
  <si>
    <t>双人下午茶(招牌烧仙草+波霸珍珠奶茶+肉肠两根)</t>
  </si>
  <si>
    <t>鲜杯桃桃$</t>
  </si>
  <si>
    <t>鲜柠绿茶</t>
  </si>
  <si>
    <t>波霸珍珠奶茶+车仔面+章鱼小丸子</t>
  </si>
  <si>
    <t>波霸珍珠奶茶+车仔面+肉肠1根</t>
  </si>
  <si>
    <t>波霸珍珠奶茶+豪华手抓饼</t>
  </si>
  <si>
    <t>铁三角下午茶(波霸珍珠奶茶+血糯米奶茶+招牌芋圆奶茶)</t>
  </si>
  <si>
    <t>韩式蜜柚茶</t>
  </si>
  <si>
    <t>雪花球【6粒】$</t>
  </si>
  <si>
    <t>车仔面+牛筋丸4粒$</t>
  </si>
  <si>
    <t>酸辣粉+咖喱鱼丸5粒$</t>
  </si>
  <si>
    <t>草莓脏脏茶+豪华手抓饼</t>
  </si>
  <si>
    <t>招牌烧仙草+车仔面+章鱼小丸子</t>
  </si>
  <si>
    <t>绿茶益力多</t>
  </si>
  <si>
    <t>芋上雪媚娘【2个】</t>
  </si>
  <si>
    <t>招牌烧仙草(免费升级)$</t>
  </si>
  <si>
    <t>店铺id</t>
  </si>
  <si>
    <t>分类名称</t>
  </si>
  <si>
    <t>商品名称</t>
  </si>
  <si>
    <t>价格</t>
  </si>
  <si>
    <t>餐盒数量</t>
  </si>
  <si>
    <t>餐盒价格</t>
  </si>
  <si>
    <t>最小购买量</t>
  </si>
  <si>
    <t>折扣价格</t>
  </si>
  <si>
    <t>折扣限购</t>
  </si>
  <si>
    <t>必填</t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</si>
  <si>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10个字以内</t>
    </r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</si>
  <si>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30个字以内</t>
    </r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</si>
  <si>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填写数字</t>
    </r>
  </si>
  <si>
    <t>0-100</t>
  </si>
  <si>
    <t>0-50</t>
  </si>
  <si>
    <t>豆沙系列</t>
  </si>
  <si>
    <t>红豆沙</t>
  </si>
  <si>
    <t>鲜奶系列</t>
  </si>
  <si>
    <t>木瓜鲜奶</t>
  </si>
  <si>
    <t>西米系列</t>
  </si>
  <si>
    <t>芋圆红豆椰汁西米露</t>
  </si>
  <si>
    <t>鲜奶红豆番薯糖水</t>
  </si>
  <si>
    <t>芋圆椰汁西米露</t>
  </si>
  <si>
    <t>双皮奶类</t>
  </si>
  <si>
    <t>芒果双皮奶</t>
  </si>
  <si>
    <t>芋圆红豆双皮奶</t>
  </si>
  <si>
    <t>周年特惠</t>
  </si>
  <si>
    <t>酱拌刀削面</t>
  </si>
  <si>
    <t>爆浆糍粑(3根)</t>
  </si>
  <si>
    <t>【至尊】木瓜雪耳桃胶炖椰奶</t>
  </si>
  <si>
    <t>火山石烤纯肉肠(肉肉哦)</t>
  </si>
  <si>
    <t>网红柠檬鸡爪（4小个）</t>
  </si>
  <si>
    <t>绿豆沙</t>
  </si>
  <si>
    <t>手工芋圆</t>
  </si>
  <si>
    <t>芋圆2号【红豆+西米+芋圆+地瓜】</t>
  </si>
  <si>
    <t>芋圆1号【红豆+西米+芋圆+莲子】</t>
  </si>
  <si>
    <t>新品尝鲜</t>
  </si>
  <si>
    <t>【新品】厚芋泥球芋圆芒果烧仙草</t>
  </si>
  <si>
    <t>【人气】厚芋泥仙草大满贯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</si>
</sst>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6">
    <font>
      <sz val="11"/>
      <color theme="1"/>
      <name val="宋体"/>
      <charset val="162"/>
      <scheme val="minor"/>
    </font>
    <font>
      <sz val="10"/>
      <name val="Heiti SC Light"/>
      <charset val="134"/>
    </font>
    <font>
      <sz val="10"/>
      <color rgb="FF3366FF"/>
      <name val="华文细黑"/>
      <charset val="134"/>
    </font>
    <font>
      <sz val="10"/>
      <color theme="1"/>
      <name val="Heiti SC Light"/>
      <charset val="134"/>
    </font>
    <font>
      <sz val="10"/>
      <color rgb="FFFF0000"/>
      <name val="华文细黑"/>
      <charset val="134"/>
    </font>
    <font>
      <sz val="10"/>
      <name val="华文细黑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6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2" fillId="9" borderId="6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3" fillId="28" borderId="8" applyNumberFormat="0" applyAlignment="0" applyProtection="0">
      <alignment vertical="center"/>
    </xf>
    <xf numFmtId="0" fontId="24" fillId="28" borderId="6" applyNumberFormat="0" applyAlignment="0" applyProtection="0">
      <alignment vertical="center"/>
    </xf>
    <xf numFmtId="0" fontId="16" fillId="16" borderId="7" applyNumberForma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</cellStyleXfs>
  <cellXfs count="14">
    <xf numFmtId="0" fontId="0" fillId="0" borderId="0" xfId="0"/>
    <xf numFmtId="49" fontId="1" fillId="0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left" vertical="center"/>
    </xf>
    <xf numFmtId="49" fontId="5" fillId="3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5-&#26041;&#26696;&#33756;&#21333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导表"/>
    </sheetNames>
    <sheetDataSet>
      <sheetData sheetId="0">
        <row r="1">
          <cell r="E1" t="str">
            <v>品名</v>
          </cell>
          <cell r="F1" t="str">
            <v>原价</v>
          </cell>
          <cell r="G1" t="str">
            <v>调整后原价</v>
          </cell>
        </row>
        <row r="2">
          <cell r="E2" t="str">
            <v>豪华台湾手抓饼(三拼)</v>
          </cell>
          <cell r="F2">
            <v>13.8</v>
          </cell>
        </row>
        <row r="3">
          <cell r="E3" t="str">
            <v>0元购【地瓜丸】每单限购1粒</v>
          </cell>
          <cell r="F3">
            <v>0</v>
          </cell>
        </row>
        <row r="4">
          <cell r="E4" t="str">
            <v>0元购【炸鱼蛋】每单限购1粒</v>
          </cell>
          <cell r="F4">
            <v>0</v>
          </cell>
        </row>
        <row r="5">
          <cell r="E5" t="str">
            <v>波霸珍珠奶茶(免费升级)</v>
          </cell>
          <cell r="F5">
            <v>13.8</v>
          </cell>
        </row>
        <row r="6">
          <cell r="E6" t="str">
            <v>招牌烧仙草(点评推荐)</v>
          </cell>
          <cell r="F6">
            <v>13.8</v>
          </cell>
          <cell r="G6">
            <v>15.8</v>
          </cell>
        </row>
        <row r="7">
          <cell r="E7" t="str">
            <v>火山石烤纯肉肠(肉肉哦)【1根】</v>
          </cell>
          <cell r="F7">
            <v>6.89</v>
          </cell>
        </row>
        <row r="8">
          <cell r="E8" t="str">
            <v>（今日特价）波霸珍珠奶茶</v>
          </cell>
          <cell r="F8">
            <v>13.8</v>
          </cell>
          <cell r="G8">
            <v>15.8</v>
          </cell>
        </row>
        <row r="9">
          <cell r="E9" t="str">
            <v>台湾手抓饼(三拼)</v>
          </cell>
          <cell r="F9">
            <v>10</v>
          </cell>
        </row>
        <row r="10">
          <cell r="E10" t="str">
            <v>香辣翅根【1个】</v>
          </cell>
          <cell r="F10">
            <v>7</v>
          </cell>
        </row>
        <row r="11">
          <cell r="E11" t="str">
            <v>正宗重庆酸辣粉(手工制粉)</v>
          </cell>
          <cell r="F11">
            <v>13.8</v>
          </cell>
          <cell r="G11">
            <v>15.8</v>
          </cell>
        </row>
        <row r="12">
          <cell r="E12" t="str">
            <v>长沙臭豆腐</v>
          </cell>
          <cell r="F12">
            <v>13.8</v>
          </cell>
        </row>
        <row r="13">
          <cell r="E13" t="str">
            <v>火腿烤冷面</v>
          </cell>
          <cell r="F13">
            <v>13.8</v>
          </cell>
        </row>
        <row r="14">
          <cell r="E14" t="str">
            <v>波霸珍珠奶茶</v>
          </cell>
          <cell r="F14">
            <v>12</v>
          </cell>
          <cell r="G14">
            <v>14.8</v>
          </cell>
        </row>
        <row r="15">
          <cell r="E15" t="str">
            <v>草莓脏脏茶(外卖不挂杯属于正常现象)</v>
          </cell>
          <cell r="F15">
            <v>13.8</v>
          </cell>
          <cell r="G15">
            <v>15.8</v>
          </cell>
        </row>
        <row r="16">
          <cell r="E16" t="str">
            <v>日式章鱼小丸子4个(新鲜现做)</v>
          </cell>
          <cell r="F16">
            <v>13.8</v>
          </cell>
          <cell r="G16">
            <v>15.8</v>
          </cell>
        </row>
        <row r="17">
          <cell r="E17" t="str">
            <v>招牌烧仙草(料多好味道)</v>
          </cell>
          <cell r="F17">
            <v>13</v>
          </cell>
          <cell r="G17">
            <v>15.8</v>
          </cell>
        </row>
        <row r="18">
          <cell r="E18" t="str">
            <v>杨枝甘露（全网推荐）</v>
          </cell>
          <cell r="F18">
            <v>13.8</v>
          </cell>
          <cell r="G18">
            <v>17.8</v>
          </cell>
        </row>
        <row r="19">
          <cell r="E19" t="str">
            <v>奥尔良烤翅(对翅)</v>
          </cell>
          <cell r="F19">
            <v>13.8</v>
          </cell>
          <cell r="G19">
            <v>16.8</v>
          </cell>
        </row>
        <row r="20">
          <cell r="E20" t="str">
            <v>网红柠檬鸡爪【4小个】</v>
          </cell>
          <cell r="F20">
            <v>6.8</v>
          </cell>
        </row>
        <row r="21">
          <cell r="E21" t="str">
            <v>相思红豆奶茶(必抢)</v>
          </cell>
          <cell r="F21">
            <v>13.8</v>
          </cell>
          <cell r="G21">
            <v>15.8</v>
          </cell>
        </row>
        <row r="22">
          <cell r="E22" t="str">
            <v>草莓优酪多(大杯)</v>
          </cell>
          <cell r="F22">
            <v>13.8</v>
          </cell>
          <cell r="G22">
            <v>15.8</v>
          </cell>
        </row>
        <row r="23">
          <cell r="E23" t="str">
            <v>川香鸡柳$(1根)</v>
          </cell>
          <cell r="F23">
            <v>6.9</v>
          </cell>
        </row>
        <row r="24">
          <cell r="E24" t="str">
            <v>金桔柠檬茶(酸甜)</v>
          </cell>
          <cell r="F24">
            <v>14</v>
          </cell>
          <cell r="G24">
            <v>14.8</v>
          </cell>
        </row>
        <row r="25">
          <cell r="E25" t="str">
            <v>台湾手抓饼(双拼)</v>
          </cell>
          <cell r="F25">
            <v>9</v>
          </cell>
        </row>
        <row r="26">
          <cell r="E26" t="str">
            <v>椰果奶茶</v>
          </cell>
          <cell r="F26">
            <v>12</v>
          </cell>
          <cell r="G26">
            <v>14.8</v>
          </cell>
        </row>
        <row r="27">
          <cell r="E27" t="str">
            <v>香港车仔面</v>
          </cell>
          <cell r="F27">
            <v>13.8</v>
          </cell>
          <cell r="G27">
            <v>15.8</v>
          </cell>
        </row>
        <row r="28">
          <cell r="E28" t="str">
            <v>芋圆烧仙草奶茶</v>
          </cell>
          <cell r="F28">
            <v>13.8</v>
          </cell>
          <cell r="G28">
            <v>15.8</v>
          </cell>
        </row>
        <row r="29">
          <cell r="E29" t="str">
            <v>红豆布丁奶茶</v>
          </cell>
          <cell r="F29">
            <v>12</v>
          </cell>
          <cell r="G29">
            <v>15.8</v>
          </cell>
        </row>
        <row r="30">
          <cell r="E30" t="str">
            <v>正宗重庆酸辣粉【麻辣酸爽】</v>
          </cell>
          <cell r="F30">
            <v>9</v>
          </cell>
          <cell r="G30">
            <v>14.8</v>
          </cell>
        </row>
        <row r="31">
          <cell r="E31" t="str">
            <v>日式章鱼小丸子【4个】</v>
          </cell>
          <cell r="F31">
            <v>9</v>
          </cell>
          <cell r="G31">
            <v>14.8</v>
          </cell>
        </row>
        <row r="32">
          <cell r="E32" t="str">
            <v>招牌水果茶</v>
          </cell>
          <cell r="F32">
            <v>13.8</v>
          </cell>
          <cell r="G32">
            <v>16.8</v>
          </cell>
        </row>
        <row r="33">
          <cell r="E33" t="str">
            <v>招牌水果茶</v>
          </cell>
          <cell r="F33">
            <v>17</v>
          </cell>
          <cell r="G33">
            <v>17.8</v>
          </cell>
        </row>
        <row r="34">
          <cell r="E34" t="str">
            <v>炸薯条</v>
          </cell>
          <cell r="F34">
            <v>13.8</v>
          </cell>
          <cell r="G34">
            <v>15.8</v>
          </cell>
        </row>
        <row r="35">
          <cell r="E35" t="str">
            <v>金桔柠檬茶(酸甜)</v>
          </cell>
          <cell r="F35">
            <v>13.8</v>
          </cell>
          <cell r="G35">
            <v>15.8</v>
          </cell>
        </row>
        <row r="36">
          <cell r="E36" t="str">
            <v>多肉葡萄【大杯】</v>
          </cell>
          <cell r="F36">
            <v>13.8</v>
          </cell>
          <cell r="G36">
            <v>16.8</v>
          </cell>
        </row>
        <row r="37">
          <cell r="E37" t="str">
            <v>培根烤冷面</v>
          </cell>
          <cell r="F37">
            <v>9</v>
          </cell>
        </row>
        <row r="38">
          <cell r="E38" t="str">
            <v>原味奶茶(纯奶茶)</v>
          </cell>
          <cell r="F38">
            <v>10</v>
          </cell>
          <cell r="G38">
            <v>14.8</v>
          </cell>
        </row>
        <row r="39">
          <cell r="E39" t="str">
            <v>藤椒琵琶鸡腿</v>
          </cell>
          <cell r="F39">
            <v>13.8</v>
          </cell>
          <cell r="G39">
            <v>14.8</v>
          </cell>
        </row>
        <row r="40">
          <cell r="E40" t="str">
            <v>香米抹茶红豆</v>
          </cell>
          <cell r="F40">
            <v>12</v>
          </cell>
          <cell r="G40">
            <v>15.8</v>
          </cell>
        </row>
        <row r="41">
          <cell r="E41" t="str">
            <v>草莓脏脏茶(外卖不挂杯属于正常现象)</v>
          </cell>
          <cell r="F41">
            <v>16</v>
          </cell>
          <cell r="G41">
            <v>17.8</v>
          </cell>
        </row>
        <row r="42">
          <cell r="E42" t="str">
            <v>香酥大鸡排</v>
          </cell>
          <cell r="F42">
            <v>13.8</v>
          </cell>
          <cell r="G42">
            <v>15.8</v>
          </cell>
        </row>
        <row r="43">
          <cell r="E43" t="str">
            <v>长沙臭豆腐(必抢)</v>
          </cell>
          <cell r="F43">
            <v>10</v>
          </cell>
          <cell r="G43">
            <v>14.8</v>
          </cell>
        </row>
        <row r="44">
          <cell r="E44" t="str">
            <v>熊猫果茶(推荐)</v>
          </cell>
          <cell r="F44">
            <v>13.8</v>
          </cell>
          <cell r="G44">
            <v>15.8</v>
          </cell>
        </row>
        <row r="45">
          <cell r="E45" t="str">
            <v>香港车仔面</v>
          </cell>
          <cell r="F45">
            <v>14.8</v>
          </cell>
        </row>
        <row r="46">
          <cell r="E46" t="str">
            <v>炸双皮奶(3根)</v>
          </cell>
          <cell r="F46">
            <v>13.8</v>
          </cell>
          <cell r="G46">
            <v>14.8</v>
          </cell>
        </row>
        <row r="47">
          <cell r="E47" t="str">
            <v>熊猫奶盖茶$</v>
          </cell>
          <cell r="F47">
            <v>13.8</v>
          </cell>
          <cell r="G47">
            <v>17.8</v>
          </cell>
        </row>
        <row r="48">
          <cell r="E48" t="str">
            <v>乌冬面</v>
          </cell>
          <cell r="F48">
            <v>13.8</v>
          </cell>
          <cell r="G48">
            <v>14.8</v>
          </cell>
        </row>
        <row r="49">
          <cell r="E49" t="str">
            <v>酱拌刀削面</v>
          </cell>
          <cell r="F49">
            <v>13.8</v>
          </cell>
          <cell r="G49">
            <v>15.8</v>
          </cell>
        </row>
        <row r="50">
          <cell r="E50" t="str">
            <v>台湾盐酥鸡</v>
          </cell>
          <cell r="F50">
            <v>12.8</v>
          </cell>
          <cell r="G50">
            <v>15.8</v>
          </cell>
        </row>
        <row r="51">
          <cell r="E51" t="str">
            <v>鲜百香双响炮(大杯)</v>
          </cell>
          <cell r="F51">
            <v>13.8</v>
          </cell>
          <cell r="G51">
            <v>15.8</v>
          </cell>
        </row>
        <row r="52">
          <cell r="E52" t="str">
            <v>招牌鲜肉锅盔(鲜香)</v>
          </cell>
          <cell r="F52">
            <v>12.9</v>
          </cell>
          <cell r="G52">
            <v>15.8</v>
          </cell>
        </row>
        <row r="53">
          <cell r="E53" t="str">
            <v>骨肉相连(3串)</v>
          </cell>
          <cell r="F53">
            <v>8</v>
          </cell>
          <cell r="G53">
            <v>14.8</v>
          </cell>
        </row>
        <row r="54">
          <cell r="E54" t="str">
            <v>台湾盐酥鸡</v>
          </cell>
          <cell r="F54">
            <v>12</v>
          </cell>
          <cell r="G54">
            <v>14.8</v>
          </cell>
        </row>
        <row r="55">
          <cell r="E55" t="str">
            <v>格雷三兄弟</v>
          </cell>
          <cell r="F55">
            <v>13</v>
          </cell>
          <cell r="G55">
            <v>15.8</v>
          </cell>
        </row>
        <row r="56">
          <cell r="E56" t="str">
            <v>咖喱鱼丸【6个】</v>
          </cell>
          <cell r="F56">
            <v>8</v>
          </cell>
          <cell r="G56">
            <v>14.8</v>
          </cell>
        </row>
        <row r="57">
          <cell r="E57" t="str">
            <v>客家薯饼</v>
          </cell>
          <cell r="F57">
            <v>6.9</v>
          </cell>
        </row>
        <row r="58">
          <cell r="E58" t="str">
            <v>香芋地瓜丸【6个】</v>
          </cell>
          <cell r="F58">
            <v>8</v>
          </cell>
          <cell r="G58">
            <v>14.8</v>
          </cell>
        </row>
        <row r="59">
          <cell r="E59" t="str">
            <v>奥利奥奶茶</v>
          </cell>
          <cell r="F59">
            <v>12</v>
          </cell>
          <cell r="G59">
            <v>15.8</v>
          </cell>
        </row>
        <row r="60">
          <cell r="E60" t="str">
            <v>双蛋烤冷面</v>
          </cell>
          <cell r="F60">
            <v>9</v>
          </cell>
        </row>
        <row r="61">
          <cell r="E61" t="str">
            <v>泰香虾饼【1个】</v>
          </cell>
          <cell r="F61">
            <v>6.9</v>
          </cell>
        </row>
        <row r="62">
          <cell r="E62" t="str">
            <v>冰鲜柠檬水(大杯)</v>
          </cell>
          <cell r="F62">
            <v>13.8</v>
          </cell>
          <cell r="G62">
            <v>15.8</v>
          </cell>
        </row>
        <row r="63">
          <cell r="E63" t="str">
            <v>满杯百香果(大杯)</v>
          </cell>
          <cell r="F63">
            <v>13.8</v>
          </cell>
          <cell r="G63">
            <v>15.8</v>
          </cell>
        </row>
        <row r="64">
          <cell r="E64" t="str">
            <v>芝士葡萄【大杯】</v>
          </cell>
          <cell r="F64">
            <v>13.8</v>
          </cell>
          <cell r="G64">
            <v>16.8</v>
          </cell>
        </row>
        <row r="65">
          <cell r="E65" t="str">
            <v>招牌鲜肉锅盔(鲜香)</v>
          </cell>
          <cell r="F65">
            <v>16.8</v>
          </cell>
        </row>
        <row r="66">
          <cell r="E66" t="str">
            <v>芋泥波波茶</v>
          </cell>
          <cell r="F66">
            <v>13.8</v>
          </cell>
          <cell r="G66">
            <v>16.8</v>
          </cell>
        </row>
        <row r="67">
          <cell r="E67" t="str">
            <v>炸牛奶</v>
          </cell>
          <cell r="F67">
            <v>13.8</v>
          </cell>
          <cell r="G67">
            <v>15.8</v>
          </cell>
        </row>
        <row r="68">
          <cell r="E68" t="str">
            <v>椰汁糕【4块】</v>
          </cell>
          <cell r="F68">
            <v>7</v>
          </cell>
        </row>
        <row r="69">
          <cell r="E69" t="str">
            <v>香米椰奶红豆</v>
          </cell>
          <cell r="F69">
            <v>12</v>
          </cell>
          <cell r="G69">
            <v>15.8</v>
          </cell>
        </row>
        <row r="70">
          <cell r="E70" t="str">
            <v>炸薯条</v>
          </cell>
          <cell r="F70">
            <v>14.8</v>
          </cell>
        </row>
        <row r="71">
          <cell r="E71" t="str">
            <v>手打柠檬红茶(大杯)</v>
          </cell>
          <cell r="F71">
            <v>13.8</v>
          </cell>
          <cell r="G71">
            <v>15.8</v>
          </cell>
        </row>
        <row r="72">
          <cell r="E72" t="str">
            <v>上校鸡块(5块)</v>
          </cell>
          <cell r="F72">
            <v>8</v>
          </cell>
          <cell r="G72">
            <v>14.8</v>
          </cell>
        </row>
        <row r="73">
          <cell r="E73" t="str">
            <v>南瓜饼(5个)</v>
          </cell>
          <cell r="F73">
            <v>13.8</v>
          </cell>
          <cell r="G73">
            <v>15.8</v>
          </cell>
        </row>
        <row r="74">
          <cell r="E74" t="str">
            <v>双拼奶茶</v>
          </cell>
          <cell r="F74">
            <v>13</v>
          </cell>
          <cell r="G74">
            <v>15.8</v>
          </cell>
        </row>
        <row r="75">
          <cell r="E75" t="str">
            <v>草莓优酪多</v>
          </cell>
          <cell r="F75">
            <v>17</v>
          </cell>
          <cell r="G75">
            <v>16.8</v>
          </cell>
        </row>
        <row r="76">
          <cell r="E76" t="str">
            <v>肉松烤冷面</v>
          </cell>
          <cell r="F76">
            <v>9</v>
          </cell>
        </row>
        <row r="77">
          <cell r="E77" t="str">
            <v>招牌芋圆奶茶</v>
          </cell>
          <cell r="F77">
            <v>13.8</v>
          </cell>
          <cell r="G77">
            <v>16.8</v>
          </cell>
        </row>
        <row r="78">
          <cell r="E78" t="str">
            <v>奥利奥奶茶</v>
          </cell>
          <cell r="F78">
            <v>13.8</v>
          </cell>
          <cell r="G78">
            <v>15.8</v>
          </cell>
        </row>
        <row r="79">
          <cell r="E79" t="str">
            <v>格雷三兄弟</v>
          </cell>
          <cell r="F79">
            <v>13.8</v>
          </cell>
          <cell r="G79">
            <v>15.8</v>
          </cell>
        </row>
        <row r="80">
          <cell r="E80" t="str">
            <v>金钻奶茶</v>
          </cell>
          <cell r="F80">
            <v>13</v>
          </cell>
          <cell r="G80">
            <v>15.8</v>
          </cell>
        </row>
        <row r="81">
          <cell r="E81" t="str">
            <v>网红烤奶</v>
          </cell>
          <cell r="F81">
            <v>13.8</v>
          </cell>
          <cell r="G81">
            <v>15.8</v>
          </cell>
        </row>
        <row r="82">
          <cell r="E82" t="str">
            <v>炸墨鱼丸【4个】</v>
          </cell>
          <cell r="F82">
            <v>9</v>
          </cell>
          <cell r="G82">
            <v>14.8</v>
          </cell>
        </row>
        <row r="83">
          <cell r="E83" t="str">
            <v>寒天山楂洛神</v>
          </cell>
          <cell r="F83">
            <v>18</v>
          </cell>
          <cell r="G83">
            <v>16.8</v>
          </cell>
        </row>
        <row r="84">
          <cell r="E84" t="str">
            <v>芒果脏脏茶(外卖不挂杯属于正常现象)</v>
          </cell>
          <cell r="F84">
            <v>16</v>
          </cell>
          <cell r="G84">
            <v>17.8</v>
          </cell>
        </row>
        <row r="85">
          <cell r="E85" t="str">
            <v>乌冬面</v>
          </cell>
          <cell r="F85">
            <v>13.8</v>
          </cell>
          <cell r="G85">
            <v>15.8</v>
          </cell>
        </row>
        <row r="86">
          <cell r="E86" t="str">
            <v>招牌梅干菜锅盔(推荐)</v>
          </cell>
          <cell r="F86">
            <v>12.9</v>
          </cell>
          <cell r="G86">
            <v>15.8</v>
          </cell>
        </row>
        <row r="87">
          <cell r="E87" t="str">
            <v>血糯米奶茶(新品必抢)</v>
          </cell>
          <cell r="F87">
            <v>13.8</v>
          </cell>
          <cell r="G87">
            <v>15.8</v>
          </cell>
        </row>
        <row r="88">
          <cell r="E88" t="str">
            <v>狼牙土豆</v>
          </cell>
          <cell r="F88">
            <v>13.8</v>
          </cell>
          <cell r="G88">
            <v>15.8</v>
          </cell>
        </row>
        <row r="89">
          <cell r="E89" t="str">
            <v>寒天爱玉</v>
          </cell>
          <cell r="F89">
            <v>16</v>
          </cell>
          <cell r="G89">
            <v>16.8</v>
          </cell>
        </row>
        <row r="90">
          <cell r="E90" t="str">
            <v>桂圆红枣枸杞鲜奶</v>
          </cell>
          <cell r="F90">
            <v>16</v>
          </cell>
          <cell r="G90">
            <v>16.8</v>
          </cell>
        </row>
        <row r="91">
          <cell r="E91" t="str">
            <v>红豆鲜奶</v>
          </cell>
          <cell r="F91">
            <v>13.8</v>
          </cell>
          <cell r="G91">
            <v>15.8</v>
          </cell>
        </row>
        <row r="92">
          <cell r="E92" t="str">
            <v>百香果绿茶</v>
          </cell>
          <cell r="F92">
            <v>14</v>
          </cell>
          <cell r="G92">
            <v>15.8</v>
          </cell>
        </row>
        <row r="93">
          <cell r="E93" t="str">
            <v>芒果益力多</v>
          </cell>
          <cell r="F93">
            <v>18</v>
          </cell>
          <cell r="G93">
            <v>17.8</v>
          </cell>
        </row>
        <row r="94">
          <cell r="E94" t="str">
            <v>芒果欧蕾</v>
          </cell>
          <cell r="F94">
            <v>13.8</v>
          </cell>
          <cell r="G94">
            <v>16.8</v>
          </cell>
        </row>
        <row r="95">
          <cell r="E95" t="str">
            <v>寒天爱玉</v>
          </cell>
          <cell r="F95">
            <v>13.8</v>
          </cell>
          <cell r="G95">
            <v>16.8</v>
          </cell>
        </row>
        <row r="96">
          <cell r="E96" t="str">
            <v>一点点奶茶</v>
          </cell>
          <cell r="F96">
            <v>13.8</v>
          </cell>
          <cell r="G96">
            <v>15.8</v>
          </cell>
        </row>
        <row r="97">
          <cell r="E97" t="str">
            <v>双拼奶茶(必抢)</v>
          </cell>
          <cell r="F97">
            <v>13.8</v>
          </cell>
          <cell r="G97">
            <v>15.8</v>
          </cell>
        </row>
        <row r="98">
          <cell r="E98" t="str">
            <v>蜜桃乌龙</v>
          </cell>
          <cell r="F98">
            <v>13.8</v>
          </cell>
          <cell r="G98">
            <v>15.8</v>
          </cell>
        </row>
        <row r="99">
          <cell r="E99" t="str">
            <v>布丁奶茶</v>
          </cell>
          <cell r="F99">
            <v>12</v>
          </cell>
          <cell r="G99">
            <v>14.8</v>
          </cell>
        </row>
        <row r="100">
          <cell r="E100" t="str">
            <v>手打柠檬绿茶(大杯)</v>
          </cell>
          <cell r="F100">
            <v>13.8</v>
          </cell>
          <cell r="G100">
            <v>15.8</v>
          </cell>
        </row>
        <row r="101">
          <cell r="E101" t="str">
            <v>鲜柠红茶</v>
          </cell>
          <cell r="F101">
            <v>14</v>
          </cell>
          <cell r="G101">
            <v>14.8</v>
          </cell>
        </row>
        <row r="102">
          <cell r="E102" t="str">
            <v>炸墨鱼丸【4个】</v>
          </cell>
          <cell r="F102">
            <v>13.8</v>
          </cell>
          <cell r="G102">
            <v>15.8</v>
          </cell>
        </row>
        <row r="103">
          <cell r="E103" t="str">
            <v>优格芒果爆爆蛋</v>
          </cell>
          <cell r="F103">
            <v>13.8</v>
          </cell>
          <cell r="G103">
            <v>16.8</v>
          </cell>
        </row>
        <row r="104">
          <cell r="E104" t="str">
            <v>芒果脏脏茶(外卖不挂杯属于正常现象)</v>
          </cell>
          <cell r="F104">
            <v>13.8</v>
          </cell>
          <cell r="G104">
            <v>16.8</v>
          </cell>
        </row>
        <row r="105">
          <cell r="E105" t="str">
            <v>茶香奶绿</v>
          </cell>
          <cell r="F105">
            <v>12</v>
          </cell>
          <cell r="G105">
            <v>15.8</v>
          </cell>
        </row>
        <row r="106">
          <cell r="E106" t="str">
            <v>金时布丁抹茶</v>
          </cell>
          <cell r="F106">
            <v>13</v>
          </cell>
          <cell r="G106">
            <v>15.8</v>
          </cell>
        </row>
        <row r="107">
          <cell r="E107" t="str">
            <v>百香果益力多</v>
          </cell>
          <cell r="F107">
            <v>16</v>
          </cell>
          <cell r="G107">
            <v>17.8</v>
          </cell>
        </row>
        <row r="108">
          <cell r="E108" t="str">
            <v>优格芒果爆爆蛋</v>
          </cell>
          <cell r="F108">
            <v>17</v>
          </cell>
          <cell r="G108">
            <v>16.8</v>
          </cell>
        </row>
        <row r="109">
          <cell r="E109" t="str">
            <v>鲜草莓芭乐(大杯)</v>
          </cell>
          <cell r="F109">
            <v>13.8</v>
          </cell>
          <cell r="G109">
            <v>16.8</v>
          </cell>
        </row>
        <row r="110">
          <cell r="E110" t="str">
            <v>车仔面+牛筋丸4粒$</v>
          </cell>
          <cell r="F110">
            <v>29.6</v>
          </cell>
        </row>
        <row r="111">
          <cell r="E111" t="str">
            <v>酸辣粉+火山石烤纯肉肠1根$</v>
          </cell>
          <cell r="F111">
            <v>29.6</v>
          </cell>
        </row>
        <row r="112">
          <cell r="E112" t="str">
            <v>酸辣粉+牛筋丸4粒$</v>
          </cell>
          <cell r="F112">
            <v>29.6</v>
          </cell>
        </row>
        <row r="113">
          <cell r="E113" t="str">
            <v>牛筋丸(5个)</v>
          </cell>
          <cell r="F113">
            <v>8</v>
          </cell>
          <cell r="G113">
            <v>14.8</v>
          </cell>
        </row>
        <row r="114">
          <cell r="E114" t="str">
            <v>荔枝蜜桃鲜果</v>
          </cell>
          <cell r="F114">
            <v>17</v>
          </cell>
          <cell r="G114">
            <v>15.8</v>
          </cell>
        </row>
        <row r="115">
          <cell r="E115" t="str">
            <v>桂圆红枣生姜茶</v>
          </cell>
          <cell r="F115">
            <v>16</v>
          </cell>
          <cell r="G115">
            <v>16.8</v>
          </cell>
        </row>
        <row r="116">
          <cell r="E116" t="str">
            <v>芒果鲜果茶(大杯)</v>
          </cell>
          <cell r="F116">
            <v>13.8</v>
          </cell>
          <cell r="G116">
            <v>16.8</v>
          </cell>
        </row>
        <row r="117">
          <cell r="E117" t="str">
            <v>车仔面+咖喱鱼丸5粒$</v>
          </cell>
          <cell r="F117">
            <v>29.8</v>
          </cell>
        </row>
        <row r="118">
          <cell r="E118" t="str">
            <v>抹茶奶盖茶</v>
          </cell>
          <cell r="F118">
            <v>17</v>
          </cell>
          <cell r="G118">
            <v>17.8</v>
          </cell>
        </row>
        <row r="119">
          <cell r="E119" t="str">
            <v>碳烧黑糖冻奶茶</v>
          </cell>
          <cell r="F119">
            <v>13</v>
          </cell>
          <cell r="G119">
            <v>15.8</v>
          </cell>
        </row>
        <row r="120">
          <cell r="E120" t="str">
            <v>香葱烤冷面</v>
          </cell>
          <cell r="F120">
            <v>9</v>
          </cell>
        </row>
        <row r="121">
          <cell r="E121" t="str">
            <v>芝士葡萄</v>
          </cell>
          <cell r="F121">
            <v>18</v>
          </cell>
          <cell r="G121">
            <v>17.8</v>
          </cell>
        </row>
        <row r="122">
          <cell r="E122" t="str">
            <v>红豆鲜奶</v>
          </cell>
          <cell r="F122">
            <v>15</v>
          </cell>
          <cell r="G122">
            <v>15.8</v>
          </cell>
        </row>
        <row r="123">
          <cell r="E123" t="str">
            <v>仙草冻奶茶</v>
          </cell>
          <cell r="F123">
            <v>12</v>
          </cell>
          <cell r="G123">
            <v>15.8</v>
          </cell>
        </row>
        <row r="124">
          <cell r="E124" t="str">
            <v>芒果鲜果茶</v>
          </cell>
          <cell r="F124">
            <v>17</v>
          </cell>
          <cell r="G124">
            <v>16.8</v>
          </cell>
        </row>
        <row r="125">
          <cell r="E125" t="str">
            <v>双打柠檬红(大杯)</v>
          </cell>
          <cell r="F125">
            <v>13.8</v>
          </cell>
          <cell r="G125">
            <v>15.8</v>
          </cell>
        </row>
        <row r="126">
          <cell r="E126" t="str">
            <v>招牌梅干菜锅盔(推荐)</v>
          </cell>
          <cell r="F126">
            <v>16.8</v>
          </cell>
        </row>
        <row r="127">
          <cell r="E127" t="str">
            <v>柠檬青桔茶</v>
          </cell>
          <cell r="F127">
            <v>15</v>
          </cell>
          <cell r="G127">
            <v>14.8</v>
          </cell>
        </row>
        <row r="128">
          <cell r="E128" t="str">
            <v>蜂蜜柚子茶</v>
          </cell>
          <cell r="F128">
            <v>15</v>
          </cell>
          <cell r="G128">
            <v>14.8</v>
          </cell>
        </row>
        <row r="129">
          <cell r="E129" t="str">
            <v>珍珠奶盖茶</v>
          </cell>
          <cell r="F129">
            <v>17</v>
          </cell>
          <cell r="G129">
            <v>17.8</v>
          </cell>
        </row>
        <row r="130">
          <cell r="E130" t="str">
            <v>酸辣粉+咖喱鱼丸5粒$</v>
          </cell>
          <cell r="F130">
            <v>29.6</v>
          </cell>
        </row>
        <row r="131">
          <cell r="E131" t="str">
            <v>波霸珍珠奶茶【两杯，注意是两杯哦】</v>
          </cell>
          <cell r="F131">
            <v>24</v>
          </cell>
        </row>
        <row r="132">
          <cell r="E132" t="str">
            <v>珍珠抹茶奶盖茶</v>
          </cell>
          <cell r="F132">
            <v>18</v>
          </cell>
          <cell r="G132">
            <v>16.8</v>
          </cell>
        </row>
        <row r="133">
          <cell r="E133" t="str">
            <v>鲜柠绿茶</v>
          </cell>
          <cell r="F133">
            <v>14</v>
          </cell>
          <cell r="G133">
            <v>14.8</v>
          </cell>
        </row>
        <row r="134">
          <cell r="E134" t="str">
            <v>黑钻奶茶</v>
          </cell>
          <cell r="F134">
            <v>13</v>
          </cell>
          <cell r="G134">
            <v>15.8</v>
          </cell>
        </row>
        <row r="135">
          <cell r="E135" t="str">
            <v>鲜草莓芭乐</v>
          </cell>
          <cell r="F135">
            <v>17</v>
          </cell>
          <cell r="G135">
            <v>16.8</v>
          </cell>
        </row>
        <row r="136">
          <cell r="E136" t="str">
            <v>乌冬面+火山石纯肉烤肠1根$</v>
          </cell>
          <cell r="F136">
            <v>29.6</v>
          </cell>
        </row>
        <row r="137">
          <cell r="E137" t="str">
            <v>奶盖茶</v>
          </cell>
          <cell r="F137">
            <v>16</v>
          </cell>
          <cell r="G137">
            <v>15.8</v>
          </cell>
        </row>
        <row r="138">
          <cell r="E138" t="str">
            <v>荔枝蜜桃鲜果(大杯)</v>
          </cell>
          <cell r="F138">
            <v>13.8</v>
          </cell>
          <cell r="G138">
            <v>16.8</v>
          </cell>
        </row>
        <row r="139">
          <cell r="E139" t="str">
            <v>雪花球【6粒】</v>
          </cell>
          <cell r="F139">
            <v>13.8</v>
          </cell>
          <cell r="G139">
            <v>15.8</v>
          </cell>
        </row>
        <row r="140">
          <cell r="E140" t="str">
            <v>乌冬面+牛筋丸4粒$</v>
          </cell>
          <cell r="F140">
            <v>29.6</v>
          </cell>
        </row>
        <row r="141">
          <cell r="E141" t="str">
            <v>车仔面+火山石纯肉烤肠1根$</v>
          </cell>
          <cell r="F141">
            <v>29.6</v>
          </cell>
        </row>
        <row r="142">
          <cell r="E142" t="str">
            <v>菊花雪梨茶</v>
          </cell>
          <cell r="F142">
            <v>16</v>
          </cell>
          <cell r="G142">
            <v>14.8</v>
          </cell>
        </row>
        <row r="143">
          <cell r="E143" t="str">
            <v>相思红豆奶茶【两杯，注意是两杯哦】</v>
          </cell>
          <cell r="F143">
            <v>24</v>
          </cell>
        </row>
        <row r="144">
          <cell r="E144" t="str">
            <v>红芭乐优酪多(大杯)</v>
          </cell>
          <cell r="F144">
            <v>13.8</v>
          </cell>
          <cell r="G144">
            <v>16.8</v>
          </cell>
        </row>
        <row r="145">
          <cell r="E145" t="str">
            <v>熊猫果茶</v>
          </cell>
          <cell r="F145">
            <v>16</v>
          </cell>
          <cell r="G145">
            <v>15.8</v>
          </cell>
        </row>
        <row r="146">
          <cell r="E146" t="str">
            <v>柠檬益力多</v>
          </cell>
          <cell r="F146">
            <v>16</v>
          </cell>
          <cell r="G146">
            <v>17.8</v>
          </cell>
        </row>
        <row r="147">
          <cell r="E147" t="str">
            <v>韩式蜜柚茶</v>
          </cell>
          <cell r="F147">
            <v>14</v>
          </cell>
          <cell r="G147">
            <v>14.8</v>
          </cell>
        </row>
        <row r="148">
          <cell r="E148" t="str">
            <v>绿茶益力多</v>
          </cell>
          <cell r="F148">
            <v>17</v>
          </cell>
          <cell r="G148">
            <v>17.8</v>
          </cell>
        </row>
        <row r="149">
          <cell r="E149" t="str">
            <v>金桔柠檬茶【两杯，注意是两杯哦】</v>
          </cell>
          <cell r="F149">
            <v>28</v>
          </cell>
        </row>
        <row r="150">
          <cell r="E150" t="str">
            <v>乌冬面+咖喱鱼丸5粒$</v>
          </cell>
          <cell r="F150">
            <v>29.6</v>
          </cell>
        </row>
        <row r="151">
          <cell r="E151" t="str">
            <v>菊花蜜柚茶</v>
          </cell>
          <cell r="F151">
            <v>14</v>
          </cell>
          <cell r="G151">
            <v>14.8</v>
          </cell>
        </row>
        <row r="152">
          <cell r="E152" t="str">
            <v>格雷三兄弟【两杯，注意是两杯哦】</v>
          </cell>
          <cell r="F152">
            <v>26</v>
          </cell>
        </row>
        <row r="153">
          <cell r="E153" t="str">
            <v>棉花糖恋可可</v>
          </cell>
          <cell r="F153">
            <v>16</v>
          </cell>
          <cell r="G153">
            <v>16.8</v>
          </cell>
        </row>
        <row r="154">
          <cell r="E154" t="str">
            <v>香米阿华田</v>
          </cell>
          <cell r="F154">
            <v>13</v>
          </cell>
          <cell r="G154">
            <v>15.8</v>
          </cell>
        </row>
        <row r="155">
          <cell r="E155" t="str">
            <v>北海布丁秀</v>
          </cell>
          <cell r="F155">
            <v>13</v>
          </cell>
          <cell r="G155">
            <v>15.8</v>
          </cell>
        </row>
        <row r="156">
          <cell r="E156" t="str">
            <v>冲绳黑钻霸</v>
          </cell>
          <cell r="F156">
            <v>13</v>
          </cell>
          <cell r="G156">
            <v>15.8</v>
          </cell>
        </row>
        <row r="157">
          <cell r="E157" t="str">
            <v>桂圆红枣枸杞茶</v>
          </cell>
          <cell r="F157">
            <v>16</v>
          </cell>
          <cell r="G157">
            <v>16.8</v>
          </cell>
        </row>
        <row r="158">
          <cell r="E158" t="str">
            <v>芒果欧蕾【两杯，注意是两杯哦】</v>
          </cell>
          <cell r="F158">
            <v>32</v>
          </cell>
        </row>
        <row r="159">
          <cell r="E159" t="str">
            <v>鲜杯桃桃</v>
          </cell>
          <cell r="F159">
            <v>13.8</v>
          </cell>
          <cell r="G159">
            <v>15.8</v>
          </cell>
        </row>
        <row r="160">
          <cell r="E160" t="str">
            <v>玄米抹茶奶盖茶</v>
          </cell>
          <cell r="F160">
            <v>17</v>
          </cell>
          <cell r="G160">
            <v>17.8</v>
          </cell>
        </row>
        <row r="161">
          <cell r="E161" t="str">
            <v>芒果欧蕾</v>
          </cell>
          <cell r="F161">
            <v>18</v>
          </cell>
          <cell r="G161">
            <v>16.8</v>
          </cell>
        </row>
        <row r="162">
          <cell r="E162" t="str">
            <v>红芭乐优酪多</v>
          </cell>
          <cell r="F162">
            <v>17</v>
          </cell>
          <cell r="G162">
            <v>16.8</v>
          </cell>
        </row>
        <row r="163">
          <cell r="E163" t="str">
            <v>熊猫奶盖茶【两杯，注意是两杯哦】</v>
          </cell>
          <cell r="F163">
            <v>32</v>
          </cell>
        </row>
      </sheetData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89"/>
  <sheetViews>
    <sheetView workbookViewId="0">
      <selection activeCell="I14" sqref="I14"/>
    </sheetView>
  </sheetViews>
  <sheetFormatPr defaultColWidth="15.625" defaultRowHeight="13.5"/>
  <cols>
    <col min="1" max="1" width="8.375" style="12" customWidth="1"/>
    <col min="2" max="2" width="31.875" style="12" customWidth="1"/>
    <col min="3" max="3" width="11.5" style="12" customWidth="1"/>
    <col min="4" max="4" width="17.125" style="12" customWidth="1"/>
    <col min="5" max="5" width="30.625" style="12" customWidth="1"/>
    <col min="6" max="6" width="7.625" style="12" customWidth="1"/>
    <col min="7" max="7" width="14.125" style="12" customWidth="1"/>
    <col min="8" max="9" width="16.125" style="12" customWidth="1"/>
    <col min="10" max="10" width="7" style="12" customWidth="1"/>
    <col min="11" max="11" width="19.625" style="12" customWidth="1"/>
    <col min="12" max="12" width="12.875" style="12" customWidth="1"/>
    <col min="13" max="13" width="7" style="12" customWidth="1"/>
    <col min="14" max="16384" width="15.625" style="12" customWidth="1"/>
  </cols>
  <sheetData>
    <row r="1" spans="1:1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</row>
    <row r="2" spans="1:13">
      <c r="A2" s="12">
        <v>9155621</v>
      </c>
      <c r="B2" s="12" t="s">
        <v>13</v>
      </c>
      <c r="C2" s="12">
        <v>3083027873</v>
      </c>
      <c r="D2" s="12" t="s">
        <v>14</v>
      </c>
      <c r="E2" s="12" t="s">
        <v>15</v>
      </c>
      <c r="F2" s="12">
        <v>0</v>
      </c>
      <c r="K2" s="12">
        <v>0</v>
      </c>
      <c r="L2" s="12">
        <v>0</v>
      </c>
      <c r="M2" s="12">
        <v>1055</v>
      </c>
    </row>
    <row r="3" spans="1:13">
      <c r="A3" s="12">
        <v>9155621</v>
      </c>
      <c r="B3" s="12" t="s">
        <v>13</v>
      </c>
      <c r="C3" s="12">
        <v>3362742373</v>
      </c>
      <c r="D3" s="12" t="s">
        <v>14</v>
      </c>
      <c r="E3" s="12" t="s">
        <v>16</v>
      </c>
      <c r="F3" s="12">
        <v>0</v>
      </c>
      <c r="K3" s="12">
        <v>0</v>
      </c>
      <c r="L3" s="12">
        <v>0</v>
      </c>
      <c r="M3" s="12">
        <v>904</v>
      </c>
    </row>
    <row r="4" spans="1:13">
      <c r="A4" s="12">
        <v>9155621</v>
      </c>
      <c r="B4" s="12" t="s">
        <v>13</v>
      </c>
      <c r="C4" s="12">
        <v>2551976177</v>
      </c>
      <c r="D4" s="12" t="s">
        <v>17</v>
      </c>
      <c r="E4" s="13" t="s">
        <v>18</v>
      </c>
      <c r="F4" s="13">
        <v>13.32</v>
      </c>
      <c r="G4" s="13">
        <v>15.8</v>
      </c>
      <c r="H4" s="13">
        <v>8.9</v>
      </c>
      <c r="J4" s="12">
        <v>-1</v>
      </c>
      <c r="K4" s="12">
        <v>1.48</v>
      </c>
      <c r="L4" s="12">
        <v>0</v>
      </c>
      <c r="M4" s="12">
        <v>823</v>
      </c>
    </row>
    <row r="5" spans="1:13">
      <c r="A5" s="12">
        <v>9155621</v>
      </c>
      <c r="B5" s="12" t="s">
        <v>13</v>
      </c>
      <c r="C5" s="12">
        <v>2551836322</v>
      </c>
      <c r="D5" s="12" t="s">
        <v>19</v>
      </c>
      <c r="E5" s="13" t="s">
        <v>20</v>
      </c>
      <c r="F5" s="13">
        <v>13.8</v>
      </c>
      <c r="G5" s="13"/>
      <c r="H5" s="13">
        <v>0.01</v>
      </c>
      <c r="J5" s="12">
        <v>1</v>
      </c>
      <c r="K5" s="12">
        <v>1.5</v>
      </c>
      <c r="L5" s="12">
        <v>0</v>
      </c>
      <c r="M5" s="12">
        <v>535</v>
      </c>
    </row>
    <row r="6" spans="1:13">
      <c r="A6" s="12">
        <v>9155621</v>
      </c>
      <c r="B6" s="12" t="s">
        <v>13</v>
      </c>
      <c r="C6" s="12">
        <v>2551976178</v>
      </c>
      <c r="D6" s="12" t="s">
        <v>17</v>
      </c>
      <c r="E6" s="13" t="s">
        <v>21</v>
      </c>
      <c r="F6" s="13">
        <v>10</v>
      </c>
      <c r="G6" s="13">
        <v>15.8</v>
      </c>
      <c r="H6" s="13"/>
      <c r="K6" s="12">
        <v>1</v>
      </c>
      <c r="L6" s="12">
        <v>0</v>
      </c>
      <c r="M6" s="12">
        <v>520</v>
      </c>
    </row>
    <row r="7" spans="1:13">
      <c r="A7" s="12">
        <v>9155621</v>
      </c>
      <c r="B7" s="12" t="s">
        <v>13</v>
      </c>
      <c r="C7" s="12">
        <v>2551943778</v>
      </c>
      <c r="D7" s="12" t="s">
        <v>19</v>
      </c>
      <c r="E7" s="13" t="s">
        <v>22</v>
      </c>
      <c r="F7" s="13">
        <v>13</v>
      </c>
      <c r="G7" s="13">
        <v>15.8</v>
      </c>
      <c r="H7" s="13">
        <v>8.9</v>
      </c>
      <c r="J7" s="12">
        <v>-1</v>
      </c>
      <c r="K7" s="12">
        <v>1.98</v>
      </c>
      <c r="L7" s="12">
        <v>0</v>
      </c>
      <c r="M7" s="12">
        <v>361</v>
      </c>
    </row>
    <row r="8" spans="1:13">
      <c r="A8" s="12">
        <v>9155621</v>
      </c>
      <c r="B8" s="12" t="s">
        <v>13</v>
      </c>
      <c r="C8" s="12">
        <v>2552088555</v>
      </c>
      <c r="D8" s="12" t="s">
        <v>23</v>
      </c>
      <c r="E8" s="13" t="s">
        <v>24</v>
      </c>
      <c r="F8" s="13">
        <v>6.89</v>
      </c>
      <c r="G8" s="13"/>
      <c r="H8" s="13">
        <v>0.99</v>
      </c>
      <c r="J8" s="12">
        <v>1</v>
      </c>
      <c r="K8" s="12">
        <v>0.5</v>
      </c>
      <c r="L8" s="12">
        <v>0</v>
      </c>
      <c r="M8" s="12">
        <v>288</v>
      </c>
    </row>
    <row r="9" spans="1:13">
      <c r="A9" s="12">
        <v>9155621</v>
      </c>
      <c r="B9" s="12" t="s">
        <v>13</v>
      </c>
      <c r="C9" s="12">
        <v>2551871755</v>
      </c>
      <c r="D9" s="12" t="s">
        <v>23</v>
      </c>
      <c r="E9" s="13" t="s">
        <v>25</v>
      </c>
      <c r="F9" s="13">
        <v>13.8</v>
      </c>
      <c r="G9" s="13">
        <v>14.8</v>
      </c>
      <c r="H9" s="13">
        <v>8.8</v>
      </c>
      <c r="J9" s="12">
        <v>-1</v>
      </c>
      <c r="K9" s="12">
        <v>1</v>
      </c>
      <c r="L9" s="12">
        <v>0</v>
      </c>
      <c r="M9" s="12">
        <v>209</v>
      </c>
    </row>
    <row r="10" spans="1:13">
      <c r="A10" s="12">
        <v>9155621</v>
      </c>
      <c r="B10" s="12" t="s">
        <v>13</v>
      </c>
      <c r="C10" s="12">
        <v>3545308205</v>
      </c>
      <c r="D10" s="12" t="s">
        <v>26</v>
      </c>
      <c r="E10" s="13" t="s">
        <v>27</v>
      </c>
      <c r="F10" s="13">
        <v>13.8</v>
      </c>
      <c r="G10" s="13">
        <f>VLOOKUP(E10,[1]导表!$E$1:$G$65536,3,0)</f>
        <v>15.8</v>
      </c>
      <c r="H10" s="13"/>
      <c r="K10" s="12">
        <v>1</v>
      </c>
      <c r="L10" s="12">
        <v>0</v>
      </c>
      <c r="M10" s="12">
        <v>202</v>
      </c>
    </row>
    <row r="11" spans="1:13">
      <c r="A11" s="12">
        <v>9155621</v>
      </c>
      <c r="B11" s="12" t="s">
        <v>13</v>
      </c>
      <c r="C11" s="12">
        <v>2552088545</v>
      </c>
      <c r="D11" s="12" t="s">
        <v>23</v>
      </c>
      <c r="E11" s="13" t="s">
        <v>28</v>
      </c>
      <c r="F11" s="13">
        <v>6.8</v>
      </c>
      <c r="G11" s="13"/>
      <c r="H11" s="13">
        <v>5.48</v>
      </c>
      <c r="J11" s="12">
        <v>2</v>
      </c>
      <c r="K11" s="12">
        <v>0.48</v>
      </c>
      <c r="L11" s="12">
        <v>0</v>
      </c>
      <c r="M11" s="12">
        <v>189</v>
      </c>
    </row>
    <row r="12" spans="1:13">
      <c r="A12" s="12">
        <v>9155621</v>
      </c>
      <c r="B12" s="12" t="s">
        <v>13</v>
      </c>
      <c r="C12" s="12">
        <v>2551911322</v>
      </c>
      <c r="D12" s="12" t="s">
        <v>26</v>
      </c>
      <c r="E12" s="13" t="s">
        <v>29</v>
      </c>
      <c r="F12" s="13">
        <v>12</v>
      </c>
      <c r="G12" s="13">
        <f>VLOOKUP(E12,[1]导表!$E$1:$G$65536,3,0)</f>
        <v>14.8</v>
      </c>
      <c r="H12" s="13"/>
      <c r="K12" s="12">
        <v>1</v>
      </c>
      <c r="L12" s="12">
        <v>0</v>
      </c>
      <c r="M12" s="12">
        <v>189</v>
      </c>
    </row>
    <row r="13" spans="1:13">
      <c r="A13" s="12">
        <v>9155621</v>
      </c>
      <c r="B13" s="12" t="s">
        <v>13</v>
      </c>
      <c r="C13" s="12">
        <v>2552017712</v>
      </c>
      <c r="D13" s="12" t="s">
        <v>19</v>
      </c>
      <c r="E13" s="13" t="s">
        <v>30</v>
      </c>
      <c r="F13" s="13">
        <v>13.8</v>
      </c>
      <c r="G13" s="13">
        <v>17.8</v>
      </c>
      <c r="H13" s="13">
        <v>12.8</v>
      </c>
      <c r="J13" s="12">
        <v>-1</v>
      </c>
      <c r="K13" s="12">
        <v>1</v>
      </c>
      <c r="L13" s="12">
        <v>0</v>
      </c>
      <c r="M13" s="12">
        <v>151</v>
      </c>
    </row>
    <row r="14" s="12" customFormat="1" spans="1:13">
      <c r="A14" s="12">
        <v>9155621</v>
      </c>
      <c r="B14" s="12" t="s">
        <v>13</v>
      </c>
      <c r="C14" s="12">
        <v>2551871835</v>
      </c>
      <c r="D14" s="12" t="s">
        <v>19</v>
      </c>
      <c r="E14" s="12" t="s">
        <v>31</v>
      </c>
      <c r="F14" s="12">
        <v>13.32</v>
      </c>
      <c r="G14" s="12">
        <f>VLOOKUP(E14,[1]导表!$E$1:$G$65536,3,0)</f>
        <v>14.8</v>
      </c>
      <c r="H14" s="12">
        <v>8.9</v>
      </c>
      <c r="I14" s="12">
        <v>9.8</v>
      </c>
      <c r="J14" s="12">
        <v>-1</v>
      </c>
      <c r="K14" s="12">
        <v>1.48</v>
      </c>
      <c r="L14" s="12">
        <v>0</v>
      </c>
      <c r="M14" s="12">
        <v>149</v>
      </c>
    </row>
    <row r="15" s="12" customFormat="1" spans="1:13">
      <c r="A15" s="12">
        <v>9155621</v>
      </c>
      <c r="B15" s="12" t="s">
        <v>13</v>
      </c>
      <c r="C15" s="12">
        <v>2552088602</v>
      </c>
      <c r="D15" s="12" t="s">
        <v>23</v>
      </c>
      <c r="E15" s="12" t="s">
        <v>32</v>
      </c>
      <c r="F15" s="12">
        <v>9</v>
      </c>
      <c r="H15" s="12">
        <v>7.8</v>
      </c>
      <c r="I15" s="12">
        <v>8.8</v>
      </c>
      <c r="J15" s="12">
        <v>-1</v>
      </c>
      <c r="K15" s="12">
        <v>1</v>
      </c>
      <c r="L15" s="12">
        <v>0</v>
      </c>
      <c r="M15" s="12">
        <v>147</v>
      </c>
    </row>
    <row r="16" s="12" customFormat="1" spans="1:13">
      <c r="A16" s="12">
        <v>9155621</v>
      </c>
      <c r="B16" s="12" t="s">
        <v>13</v>
      </c>
      <c r="C16" s="12">
        <v>3221831858</v>
      </c>
      <c r="D16" s="12" t="s">
        <v>19</v>
      </c>
      <c r="E16" s="12" t="s">
        <v>33</v>
      </c>
      <c r="F16" s="12">
        <v>13.8</v>
      </c>
      <c r="G16" s="12">
        <v>16.8</v>
      </c>
      <c r="H16" s="12">
        <v>8.8</v>
      </c>
      <c r="J16" s="12">
        <v>-1</v>
      </c>
      <c r="K16" s="12">
        <v>1</v>
      </c>
      <c r="L16" s="12">
        <v>0</v>
      </c>
      <c r="M16" s="12">
        <v>144</v>
      </c>
    </row>
    <row r="17" s="12" customFormat="1" spans="1:13">
      <c r="A17" s="12">
        <v>9155621</v>
      </c>
      <c r="B17" s="12" t="s">
        <v>13</v>
      </c>
      <c r="C17" s="12">
        <v>2551871804</v>
      </c>
      <c r="D17" s="12" t="s">
        <v>34</v>
      </c>
      <c r="E17" s="12" t="s">
        <v>35</v>
      </c>
      <c r="F17" s="12">
        <v>9</v>
      </c>
      <c r="G17" s="12">
        <v>14.8</v>
      </c>
      <c r="K17" s="12">
        <v>1</v>
      </c>
      <c r="L17" s="12">
        <v>0</v>
      </c>
      <c r="M17" s="12">
        <v>142</v>
      </c>
    </row>
    <row r="18" s="12" customFormat="1" spans="1:13">
      <c r="A18" s="12">
        <v>9155621</v>
      </c>
      <c r="B18" s="12" t="s">
        <v>13</v>
      </c>
      <c r="C18" s="12">
        <v>3222059366</v>
      </c>
      <c r="D18" s="12" t="s">
        <v>19</v>
      </c>
      <c r="E18" s="12" t="s">
        <v>36</v>
      </c>
      <c r="F18" s="12">
        <v>13.8</v>
      </c>
      <c r="G18" s="12">
        <v>15.8</v>
      </c>
      <c r="H18" s="12">
        <v>8.8</v>
      </c>
      <c r="J18" s="12">
        <v>-1</v>
      </c>
      <c r="K18" s="12">
        <v>1</v>
      </c>
      <c r="L18" s="12">
        <v>0</v>
      </c>
      <c r="M18" s="12">
        <v>140</v>
      </c>
    </row>
    <row r="19" s="12" customFormat="1" spans="1:13">
      <c r="A19" s="12">
        <v>9155621</v>
      </c>
      <c r="B19" s="12" t="s">
        <v>13</v>
      </c>
      <c r="C19" s="12">
        <v>2551911458</v>
      </c>
      <c r="D19" s="12" t="s">
        <v>23</v>
      </c>
      <c r="E19" s="12" t="s">
        <v>31</v>
      </c>
      <c r="F19" s="12">
        <v>9</v>
      </c>
      <c r="G19" s="12">
        <f>VLOOKUP(E19,[1]导表!$E$1:$G$65536,3,0)</f>
        <v>14.8</v>
      </c>
      <c r="H19" s="12">
        <v>8.9</v>
      </c>
      <c r="I19" s="12">
        <v>9.8</v>
      </c>
      <c r="J19" s="12">
        <v>-1</v>
      </c>
      <c r="K19" s="12">
        <v>1</v>
      </c>
      <c r="L19" s="12">
        <v>0</v>
      </c>
      <c r="M19" s="12">
        <v>137</v>
      </c>
    </row>
    <row r="20" s="12" customFormat="1" spans="1:13">
      <c r="A20" s="12">
        <v>9155621</v>
      </c>
      <c r="B20" s="12" t="s">
        <v>13</v>
      </c>
      <c r="C20" s="12">
        <v>2551976124</v>
      </c>
      <c r="D20" s="12" t="s">
        <v>23</v>
      </c>
      <c r="E20" s="12" t="s">
        <v>37</v>
      </c>
      <c r="F20" s="12">
        <v>7</v>
      </c>
      <c r="H20" s="12">
        <v>1.99</v>
      </c>
      <c r="J20" s="12">
        <v>1</v>
      </c>
      <c r="K20" s="12">
        <v>0.48</v>
      </c>
      <c r="L20" s="12">
        <v>0</v>
      </c>
      <c r="M20" s="12">
        <v>132</v>
      </c>
    </row>
    <row r="21" s="12" customFormat="1" spans="1:13">
      <c r="A21" s="12">
        <v>9155621</v>
      </c>
      <c r="B21" s="12" t="s">
        <v>13</v>
      </c>
      <c r="C21" s="12">
        <v>2551911464</v>
      </c>
      <c r="D21" s="12" t="s">
        <v>34</v>
      </c>
      <c r="E21" s="12" t="s">
        <v>38</v>
      </c>
      <c r="F21" s="12">
        <v>13.9</v>
      </c>
      <c r="G21" s="12">
        <v>14.8</v>
      </c>
      <c r="H21" s="12">
        <v>8.8</v>
      </c>
      <c r="J21" s="12">
        <v>-1</v>
      </c>
      <c r="K21" s="12">
        <v>1</v>
      </c>
      <c r="L21" s="12">
        <v>0</v>
      </c>
      <c r="M21" s="12">
        <v>131</v>
      </c>
    </row>
    <row r="22" s="12" customFormat="1" spans="1:13">
      <c r="A22" s="12">
        <v>9155621</v>
      </c>
      <c r="B22" s="12" t="s">
        <v>13</v>
      </c>
      <c r="C22" s="12">
        <v>2551943755</v>
      </c>
      <c r="D22" s="12" t="s">
        <v>17</v>
      </c>
      <c r="E22" s="12" t="s">
        <v>39</v>
      </c>
      <c r="F22" s="12">
        <v>9</v>
      </c>
      <c r="G22" s="12">
        <v>14.8</v>
      </c>
      <c r="K22" s="12">
        <v>1</v>
      </c>
      <c r="L22" s="12">
        <v>0</v>
      </c>
      <c r="M22" s="12">
        <v>117</v>
      </c>
    </row>
    <row r="23" s="12" customFormat="1" spans="1:13">
      <c r="A23" s="12">
        <v>9155621</v>
      </c>
      <c r="B23" s="12" t="s">
        <v>13</v>
      </c>
      <c r="C23" s="12">
        <v>3091957931</v>
      </c>
      <c r="D23" s="12" t="s">
        <v>19</v>
      </c>
      <c r="E23" s="12" t="s">
        <v>40</v>
      </c>
      <c r="F23" s="12">
        <v>13.8</v>
      </c>
      <c r="G23" s="12">
        <v>16.8</v>
      </c>
      <c r="H23" s="12">
        <v>8.8</v>
      </c>
      <c r="I23" s="12">
        <v>9.88</v>
      </c>
      <c r="J23" s="12">
        <v>-1</v>
      </c>
      <c r="K23" s="12">
        <v>1</v>
      </c>
      <c r="L23" s="12">
        <v>0</v>
      </c>
      <c r="M23" s="12">
        <v>96</v>
      </c>
    </row>
    <row r="24" s="12" customFormat="1" spans="1:13">
      <c r="A24" s="12">
        <v>9155621</v>
      </c>
      <c r="B24" s="12" t="s">
        <v>13</v>
      </c>
      <c r="C24" s="12">
        <v>2551871837</v>
      </c>
      <c r="D24" s="12" t="s">
        <v>19</v>
      </c>
      <c r="E24" s="12" t="s">
        <v>32</v>
      </c>
      <c r="F24" s="12">
        <v>13.32</v>
      </c>
      <c r="G24" s="12">
        <v>15.8</v>
      </c>
      <c r="H24" s="12">
        <v>7.8</v>
      </c>
      <c r="J24" s="12">
        <v>-1</v>
      </c>
      <c r="K24" s="12">
        <v>1.48</v>
      </c>
      <c r="L24" s="12">
        <v>0</v>
      </c>
      <c r="M24" s="12">
        <v>91</v>
      </c>
    </row>
    <row r="25" s="12" customFormat="1" spans="1:13">
      <c r="A25" s="12">
        <v>9155621</v>
      </c>
      <c r="B25" s="12" t="s">
        <v>13</v>
      </c>
      <c r="C25" s="12">
        <v>2551976195</v>
      </c>
      <c r="D25" s="12" t="s">
        <v>19</v>
      </c>
      <c r="E25" s="12" t="s">
        <v>41</v>
      </c>
      <c r="F25" s="12">
        <v>13.8</v>
      </c>
      <c r="G25" s="12">
        <f>VLOOKUP(E25,[1]导表!$E$1:$G$65536,3,0)</f>
        <v>15.8</v>
      </c>
      <c r="H25" s="12">
        <v>8.8</v>
      </c>
      <c r="I25" s="12">
        <v>9.8</v>
      </c>
      <c r="J25" s="12">
        <v>-1</v>
      </c>
      <c r="K25" s="12">
        <v>1</v>
      </c>
      <c r="L25" s="12">
        <v>0</v>
      </c>
      <c r="M25" s="12">
        <v>91</v>
      </c>
    </row>
    <row r="26" s="12" customFormat="1" spans="1:13">
      <c r="A26" s="12">
        <v>9155621</v>
      </c>
      <c r="B26" s="12" t="s">
        <v>13</v>
      </c>
      <c r="C26" s="12">
        <v>2552050549</v>
      </c>
      <c r="D26" s="12" t="s">
        <v>34</v>
      </c>
      <c r="E26" s="12" t="s">
        <v>42</v>
      </c>
      <c r="F26" s="12">
        <v>9</v>
      </c>
      <c r="G26" s="12">
        <v>14.8</v>
      </c>
      <c r="K26" s="12">
        <v>1</v>
      </c>
      <c r="L26" s="12">
        <v>0</v>
      </c>
      <c r="M26" s="12">
        <v>87</v>
      </c>
    </row>
    <row r="27" s="12" customFormat="1" spans="1:13">
      <c r="A27" s="12">
        <v>9155621</v>
      </c>
      <c r="B27" s="12" t="s">
        <v>13</v>
      </c>
      <c r="C27" s="12">
        <v>2551943596</v>
      </c>
      <c r="D27" s="12" t="s">
        <v>26</v>
      </c>
      <c r="E27" s="12" t="s">
        <v>43</v>
      </c>
      <c r="F27" s="12">
        <v>12</v>
      </c>
      <c r="G27" s="12">
        <f>VLOOKUP(E27,[1]导表!$E$1:$G$65536,3,0)</f>
        <v>14.8</v>
      </c>
      <c r="K27" s="12">
        <v>1</v>
      </c>
      <c r="L27" s="12">
        <v>0</v>
      </c>
      <c r="M27" s="12">
        <v>85</v>
      </c>
    </row>
    <row r="28" s="12" customFormat="1" spans="1:13">
      <c r="A28" s="12">
        <v>9155621</v>
      </c>
      <c r="B28" s="12" t="s">
        <v>13</v>
      </c>
      <c r="C28" s="12">
        <v>2551911460</v>
      </c>
      <c r="D28" s="12" t="s">
        <v>23</v>
      </c>
      <c r="E28" s="12" t="s">
        <v>44</v>
      </c>
      <c r="F28" s="12">
        <v>14.8</v>
      </c>
      <c r="G28" s="12">
        <v>14.8</v>
      </c>
      <c r="H28" s="12">
        <v>8.8</v>
      </c>
      <c r="J28" s="12">
        <v>-1</v>
      </c>
      <c r="K28" s="12">
        <v>1</v>
      </c>
      <c r="L28" s="12">
        <v>0</v>
      </c>
      <c r="M28" s="12">
        <v>81</v>
      </c>
    </row>
    <row r="29" s="12" customFormat="1" spans="1:13">
      <c r="A29" s="12">
        <v>9155621</v>
      </c>
      <c r="B29" s="12" t="s">
        <v>13</v>
      </c>
      <c r="C29" s="12">
        <v>2551911425</v>
      </c>
      <c r="D29" s="12" t="s">
        <v>23</v>
      </c>
      <c r="E29" s="12" t="s">
        <v>45</v>
      </c>
      <c r="F29" s="12">
        <v>13.8</v>
      </c>
      <c r="G29" s="12">
        <v>15.8</v>
      </c>
      <c r="H29" s="12">
        <v>9.8</v>
      </c>
      <c r="J29" s="12">
        <v>-1</v>
      </c>
      <c r="K29" s="12">
        <v>1</v>
      </c>
      <c r="L29" s="12">
        <v>0</v>
      </c>
      <c r="M29" s="12">
        <v>79</v>
      </c>
    </row>
    <row r="30" s="12" customFormat="1" spans="1:13">
      <c r="A30" s="12">
        <v>9155621</v>
      </c>
      <c r="B30" s="12" t="s">
        <v>13</v>
      </c>
      <c r="C30" s="12">
        <v>2551871797</v>
      </c>
      <c r="D30" s="12" t="s">
        <v>23</v>
      </c>
      <c r="E30" s="12" t="s">
        <v>41</v>
      </c>
      <c r="F30" s="12">
        <v>14.8</v>
      </c>
      <c r="G30" s="12">
        <f>VLOOKUP(E30,[1]导表!$E$1:$G$65536,3,0)</f>
        <v>15.8</v>
      </c>
      <c r="H30" s="12">
        <v>8.8</v>
      </c>
      <c r="I30" s="12">
        <v>9.8</v>
      </c>
      <c r="J30" s="12">
        <v>-1</v>
      </c>
      <c r="K30" s="12">
        <v>1</v>
      </c>
      <c r="L30" s="12">
        <v>0</v>
      </c>
      <c r="M30" s="12">
        <v>78</v>
      </c>
    </row>
    <row r="31" s="12" customFormat="1" spans="1:13">
      <c r="A31" s="12">
        <v>9155621</v>
      </c>
      <c r="B31" s="12" t="s">
        <v>13</v>
      </c>
      <c r="C31" s="12">
        <v>2551976175</v>
      </c>
      <c r="D31" s="12" t="s">
        <v>23</v>
      </c>
      <c r="E31" s="12" t="s">
        <v>46</v>
      </c>
      <c r="F31" s="12">
        <v>8</v>
      </c>
      <c r="G31" s="12">
        <f>VLOOKUP(E31,[1]导表!$E$1:$G$65536,3,0)</f>
        <v>14.8</v>
      </c>
      <c r="K31" s="12">
        <v>1</v>
      </c>
      <c r="L31" s="12">
        <v>0</v>
      </c>
      <c r="M31" s="12">
        <v>74</v>
      </c>
    </row>
    <row r="32" s="12" customFormat="1" spans="1:13">
      <c r="A32" s="12">
        <v>9155621</v>
      </c>
      <c r="B32" s="12" t="s">
        <v>13</v>
      </c>
      <c r="C32" s="12">
        <v>2552050567</v>
      </c>
      <c r="D32" s="12" t="s">
        <v>19</v>
      </c>
      <c r="E32" s="12" t="s">
        <v>47</v>
      </c>
      <c r="F32" s="12">
        <v>4</v>
      </c>
      <c r="H32" s="12">
        <v>0.99</v>
      </c>
      <c r="J32" s="12">
        <v>1</v>
      </c>
      <c r="K32" s="12">
        <v>1</v>
      </c>
      <c r="L32" s="12">
        <v>0</v>
      </c>
      <c r="M32" s="12">
        <v>74</v>
      </c>
    </row>
    <row r="33" s="12" customFormat="1" spans="1:13">
      <c r="A33" s="12">
        <v>9155621</v>
      </c>
      <c r="B33" s="12" t="s">
        <v>13</v>
      </c>
      <c r="C33" s="12">
        <v>2552088641</v>
      </c>
      <c r="D33" s="12" t="s">
        <v>19</v>
      </c>
      <c r="E33" s="12" t="s">
        <v>48</v>
      </c>
      <c r="F33" s="12">
        <v>13.8</v>
      </c>
      <c r="G33" s="12">
        <v>15.8</v>
      </c>
      <c r="H33" s="12">
        <v>8.8</v>
      </c>
      <c r="J33" s="12">
        <v>-1</v>
      </c>
      <c r="K33" s="12">
        <v>1</v>
      </c>
      <c r="L33" s="12">
        <v>0</v>
      </c>
      <c r="M33" s="12">
        <v>71</v>
      </c>
    </row>
    <row r="34" s="12" customFormat="1" spans="1:13">
      <c r="A34" s="12">
        <v>9155621</v>
      </c>
      <c r="B34" s="12" t="s">
        <v>13</v>
      </c>
      <c r="C34" s="12">
        <v>3222107068</v>
      </c>
      <c r="D34" s="12" t="s">
        <v>19</v>
      </c>
      <c r="E34" s="12" t="s">
        <v>49</v>
      </c>
      <c r="F34" s="12">
        <v>13.8</v>
      </c>
      <c r="G34" s="12">
        <v>15.8</v>
      </c>
      <c r="H34" s="12">
        <v>8.8</v>
      </c>
      <c r="J34" s="12">
        <v>-1</v>
      </c>
      <c r="K34" s="12">
        <v>1</v>
      </c>
      <c r="L34" s="12">
        <v>0</v>
      </c>
      <c r="M34" s="12">
        <v>70</v>
      </c>
    </row>
    <row r="35" s="12" customFormat="1" spans="1:13">
      <c r="A35" s="12">
        <v>9155621</v>
      </c>
      <c r="B35" s="12" t="s">
        <v>13</v>
      </c>
      <c r="C35" s="12">
        <v>2552088624</v>
      </c>
      <c r="D35" s="12" t="s">
        <v>50</v>
      </c>
      <c r="E35" s="12" t="s">
        <v>51</v>
      </c>
      <c r="F35" s="12">
        <v>13.8</v>
      </c>
      <c r="G35" s="12">
        <f>VLOOKUP(E35,[1]导表!$E$1:$G$65536,3,0)</f>
        <v>17.8</v>
      </c>
      <c r="H35" s="12">
        <v>10.8</v>
      </c>
      <c r="J35" s="12">
        <v>-1</v>
      </c>
      <c r="K35" s="12">
        <v>1</v>
      </c>
      <c r="L35" s="12">
        <v>0</v>
      </c>
      <c r="M35" s="12">
        <v>66</v>
      </c>
    </row>
    <row r="36" s="12" customFormat="1" spans="1:13">
      <c r="A36" s="12">
        <v>9155621</v>
      </c>
      <c r="B36" s="12" t="s">
        <v>13</v>
      </c>
      <c r="C36" s="12">
        <v>3357018498</v>
      </c>
      <c r="D36" s="12" t="s">
        <v>19</v>
      </c>
      <c r="E36" s="12" t="s">
        <v>52</v>
      </c>
      <c r="F36" s="12">
        <v>14.8</v>
      </c>
      <c r="G36" s="12">
        <v>15.8</v>
      </c>
      <c r="H36" s="12">
        <v>0.01</v>
      </c>
      <c r="J36" s="12">
        <v>1</v>
      </c>
      <c r="K36" s="12">
        <v>1.5</v>
      </c>
      <c r="L36" s="12">
        <v>0</v>
      </c>
      <c r="M36" s="12">
        <v>64</v>
      </c>
    </row>
    <row r="37" s="12" customFormat="1" spans="1:13">
      <c r="A37" s="12">
        <v>9155621</v>
      </c>
      <c r="B37" s="12" t="s">
        <v>13</v>
      </c>
      <c r="C37" s="12">
        <v>3356779805</v>
      </c>
      <c r="D37" s="12" t="s">
        <v>19</v>
      </c>
      <c r="E37" s="12" t="s">
        <v>53</v>
      </c>
      <c r="F37" s="12">
        <v>15.8</v>
      </c>
      <c r="G37" s="12">
        <v>16.8</v>
      </c>
      <c r="H37" s="12">
        <v>0.01</v>
      </c>
      <c r="J37" s="12">
        <v>1</v>
      </c>
      <c r="K37" s="12">
        <v>1.5</v>
      </c>
      <c r="L37" s="12">
        <v>0</v>
      </c>
      <c r="M37" s="12">
        <v>64</v>
      </c>
    </row>
    <row r="38" s="12" customFormat="1" spans="1:13">
      <c r="A38" s="12">
        <v>9155621</v>
      </c>
      <c r="B38" s="12" t="s">
        <v>13</v>
      </c>
      <c r="C38" s="12">
        <v>2551836297</v>
      </c>
      <c r="D38" s="12" t="s">
        <v>23</v>
      </c>
      <c r="E38" s="12" t="s">
        <v>54</v>
      </c>
      <c r="F38" s="12">
        <v>8</v>
      </c>
      <c r="G38" s="12">
        <v>14.8</v>
      </c>
      <c r="K38" s="12">
        <v>1</v>
      </c>
      <c r="L38" s="12">
        <v>0</v>
      </c>
      <c r="M38" s="12">
        <v>58</v>
      </c>
    </row>
    <row r="39" s="12" customFormat="1" spans="1:13">
      <c r="A39" s="12">
        <v>9155621</v>
      </c>
      <c r="B39" s="12" t="s">
        <v>13</v>
      </c>
      <c r="C39" s="12">
        <v>2552088615</v>
      </c>
      <c r="D39" s="12" t="s">
        <v>23</v>
      </c>
      <c r="E39" s="12" t="s">
        <v>55</v>
      </c>
      <c r="F39" s="12">
        <v>12</v>
      </c>
      <c r="G39" s="12">
        <v>15.8</v>
      </c>
      <c r="H39" s="12">
        <v>9.9</v>
      </c>
      <c r="J39" s="12">
        <v>-1</v>
      </c>
      <c r="K39" s="12">
        <v>1</v>
      </c>
      <c r="L39" s="12">
        <v>0</v>
      </c>
      <c r="M39" s="12">
        <v>58</v>
      </c>
    </row>
    <row r="40" s="12" customFormat="1" spans="1:13">
      <c r="A40" s="12">
        <v>9155621</v>
      </c>
      <c r="B40" s="12" t="s">
        <v>13</v>
      </c>
      <c r="C40" s="12">
        <v>3356877462</v>
      </c>
      <c r="D40" s="12" t="s">
        <v>56</v>
      </c>
      <c r="E40" s="12" t="s">
        <v>57</v>
      </c>
      <c r="F40" s="12">
        <v>4</v>
      </c>
      <c r="H40" s="12">
        <v>0.99</v>
      </c>
      <c r="J40" s="12">
        <v>-1</v>
      </c>
      <c r="K40" s="12">
        <v>1</v>
      </c>
      <c r="L40" s="12">
        <v>0</v>
      </c>
      <c r="M40" s="12">
        <v>54</v>
      </c>
    </row>
    <row r="41" s="12" customFormat="1" spans="1:13">
      <c r="A41" s="12">
        <v>9155621</v>
      </c>
      <c r="B41" s="12" t="s">
        <v>13</v>
      </c>
      <c r="C41" s="12">
        <v>2551911332</v>
      </c>
      <c r="D41" s="12" t="s">
        <v>26</v>
      </c>
      <c r="E41" s="12" t="s">
        <v>58</v>
      </c>
      <c r="F41" s="12">
        <v>13</v>
      </c>
      <c r="G41" s="12">
        <f>VLOOKUP(E41,[1]导表!$E$1:$G$65536,3,0)</f>
        <v>15.8</v>
      </c>
      <c r="K41" s="12">
        <v>1</v>
      </c>
      <c r="L41" s="12">
        <v>0</v>
      </c>
      <c r="M41" s="12">
        <v>54</v>
      </c>
    </row>
    <row r="42" s="12" customFormat="1" spans="1:13">
      <c r="A42" s="12">
        <v>9155621</v>
      </c>
      <c r="B42" s="12" t="s">
        <v>13</v>
      </c>
      <c r="C42" s="12">
        <v>3389635820</v>
      </c>
      <c r="D42" s="12" t="s">
        <v>19</v>
      </c>
      <c r="E42" s="12" t="s">
        <v>59</v>
      </c>
      <c r="F42" s="12">
        <v>13.8</v>
      </c>
      <c r="G42" s="12">
        <v>16.8</v>
      </c>
      <c r="H42" s="12">
        <v>12.8</v>
      </c>
      <c r="J42" s="12">
        <v>-1</v>
      </c>
      <c r="K42" s="12">
        <v>1</v>
      </c>
      <c r="L42" s="12">
        <v>0</v>
      </c>
      <c r="M42" s="12">
        <v>54</v>
      </c>
    </row>
    <row r="43" s="12" customFormat="1" spans="1:13">
      <c r="A43" s="12">
        <v>9155621</v>
      </c>
      <c r="B43" s="12" t="s">
        <v>13</v>
      </c>
      <c r="C43" s="12">
        <v>2552017711</v>
      </c>
      <c r="D43" s="12" t="s">
        <v>19</v>
      </c>
      <c r="E43" s="12" t="s">
        <v>60</v>
      </c>
      <c r="F43" s="12">
        <v>13.8</v>
      </c>
      <c r="G43" s="12">
        <v>15.8</v>
      </c>
      <c r="H43" s="12">
        <v>8.8</v>
      </c>
      <c r="J43" s="12">
        <v>-1</v>
      </c>
      <c r="K43" s="12">
        <v>1</v>
      </c>
      <c r="L43" s="12">
        <v>0</v>
      </c>
      <c r="M43" s="12">
        <v>53</v>
      </c>
    </row>
    <row r="44" s="12" customFormat="1" spans="1:13">
      <c r="A44" s="12">
        <v>9155621</v>
      </c>
      <c r="B44" s="12" t="s">
        <v>13</v>
      </c>
      <c r="C44" s="12">
        <v>3545491012</v>
      </c>
      <c r="D44" s="12" t="s">
        <v>61</v>
      </c>
      <c r="E44" s="12" t="s">
        <v>62</v>
      </c>
      <c r="F44" s="12">
        <v>16</v>
      </c>
      <c r="G44" s="12">
        <f>VLOOKUP(E44,[1]导表!$E$1:$G$65536,3,0)</f>
        <v>15.8</v>
      </c>
      <c r="K44" s="12">
        <v>1</v>
      </c>
      <c r="L44" s="12">
        <v>0</v>
      </c>
      <c r="M44" s="12">
        <v>51</v>
      </c>
    </row>
    <row r="45" s="12" customFormat="1" spans="1:13">
      <c r="A45" s="12">
        <v>9155621</v>
      </c>
      <c r="B45" s="12" t="s">
        <v>13</v>
      </c>
      <c r="C45" s="12">
        <v>2551911469</v>
      </c>
      <c r="D45" s="12" t="s">
        <v>63</v>
      </c>
      <c r="E45" s="12" t="s">
        <v>64</v>
      </c>
      <c r="F45" s="12">
        <v>17</v>
      </c>
      <c r="G45" s="12">
        <f>VLOOKUP(E45,[1]导表!$E$1:$G$65536,3,0)</f>
        <v>16.8</v>
      </c>
      <c r="K45" s="12">
        <v>1</v>
      </c>
      <c r="L45" s="12">
        <v>0</v>
      </c>
      <c r="M45" s="12">
        <v>49</v>
      </c>
    </row>
    <row r="46" s="12" customFormat="1" spans="1:13">
      <c r="A46" s="12">
        <v>9155621</v>
      </c>
      <c r="B46" s="12" t="s">
        <v>13</v>
      </c>
      <c r="C46" s="12">
        <v>2993349427</v>
      </c>
      <c r="D46" s="12" t="s">
        <v>19</v>
      </c>
      <c r="E46" s="12" t="s">
        <v>65</v>
      </c>
      <c r="F46" s="12">
        <v>13.8</v>
      </c>
      <c r="G46" s="12">
        <f>VLOOKUP(E46,[1]导表!$E$1:$G$65536,3,0)</f>
        <v>14.8</v>
      </c>
      <c r="H46" s="12">
        <v>8.8</v>
      </c>
      <c r="I46" s="12">
        <v>9.8</v>
      </c>
      <c r="J46" s="12">
        <v>-1</v>
      </c>
      <c r="K46" s="12">
        <v>1</v>
      </c>
      <c r="L46" s="12">
        <v>0</v>
      </c>
      <c r="M46" s="12">
        <v>49</v>
      </c>
    </row>
    <row r="47" s="12" customFormat="1" spans="1:13">
      <c r="A47" s="12">
        <v>9155621</v>
      </c>
      <c r="B47" s="12" t="s">
        <v>13</v>
      </c>
      <c r="C47" s="12">
        <v>3357622801</v>
      </c>
      <c r="D47" s="12" t="s">
        <v>56</v>
      </c>
      <c r="E47" s="12" t="s">
        <v>66</v>
      </c>
      <c r="F47" s="12">
        <v>5</v>
      </c>
      <c r="H47" s="12">
        <v>0.99</v>
      </c>
      <c r="J47" s="12">
        <v>-1</v>
      </c>
      <c r="K47" s="12">
        <v>1.5</v>
      </c>
      <c r="L47" s="12">
        <v>0</v>
      </c>
      <c r="M47" s="12">
        <v>47</v>
      </c>
    </row>
    <row r="48" s="12" customFormat="1" spans="1:13">
      <c r="A48" s="12">
        <v>9155621</v>
      </c>
      <c r="B48" s="12" t="s">
        <v>13</v>
      </c>
      <c r="C48" s="12">
        <v>2552088428</v>
      </c>
      <c r="D48" s="12" t="s">
        <v>26</v>
      </c>
      <c r="E48" s="12" t="s">
        <v>67</v>
      </c>
      <c r="F48" s="12">
        <v>12</v>
      </c>
      <c r="G48" s="12">
        <f>VLOOKUP(E48,[1]导表!$E$1:$G$65536,3,0)</f>
        <v>15.8</v>
      </c>
      <c r="K48" s="12">
        <v>1</v>
      </c>
      <c r="L48" s="12">
        <v>0</v>
      </c>
      <c r="M48" s="12">
        <v>47</v>
      </c>
    </row>
    <row r="49" s="12" customFormat="1" spans="1:13">
      <c r="A49" s="12">
        <v>9155621</v>
      </c>
      <c r="B49" s="12" t="s">
        <v>13</v>
      </c>
      <c r="C49" s="12">
        <v>2552017686</v>
      </c>
      <c r="D49" s="12" t="s">
        <v>63</v>
      </c>
      <c r="E49" s="12" t="s">
        <v>68</v>
      </c>
      <c r="F49" s="12">
        <v>14</v>
      </c>
      <c r="G49" s="12">
        <f>VLOOKUP(E49,[1]导表!$E$1:$G$65536,3,0)</f>
        <v>14.8</v>
      </c>
      <c r="K49" s="12">
        <v>1</v>
      </c>
      <c r="L49" s="12">
        <v>0</v>
      </c>
      <c r="M49" s="12">
        <v>46</v>
      </c>
    </row>
    <row r="50" s="12" customFormat="1" spans="1:13">
      <c r="A50" s="12">
        <v>9155621</v>
      </c>
      <c r="B50" s="12" t="s">
        <v>13</v>
      </c>
      <c r="C50" s="12">
        <v>3356758096</v>
      </c>
      <c r="D50" s="12" t="s">
        <v>56</v>
      </c>
      <c r="E50" s="12" t="s">
        <v>69</v>
      </c>
      <c r="F50" s="12">
        <v>4</v>
      </c>
      <c r="H50" s="12">
        <v>0.99</v>
      </c>
      <c r="J50" s="12">
        <v>-1</v>
      </c>
      <c r="K50" s="12">
        <v>1.4</v>
      </c>
      <c r="L50" s="12">
        <v>0</v>
      </c>
      <c r="M50" s="12">
        <v>44</v>
      </c>
    </row>
    <row r="51" s="12" customFormat="1" spans="1:13">
      <c r="A51" s="12">
        <v>9155621</v>
      </c>
      <c r="B51" s="12" t="s">
        <v>13</v>
      </c>
      <c r="C51" s="12">
        <v>2552088642</v>
      </c>
      <c r="D51" s="12" t="s">
        <v>19</v>
      </c>
      <c r="E51" s="12" t="s">
        <v>70</v>
      </c>
      <c r="F51" s="12">
        <v>13.8</v>
      </c>
      <c r="G51" s="12">
        <v>15.8</v>
      </c>
      <c r="H51" s="12">
        <v>8.8</v>
      </c>
      <c r="J51" s="12">
        <v>-1</v>
      </c>
      <c r="K51" s="12">
        <v>1</v>
      </c>
      <c r="L51" s="12">
        <v>0</v>
      </c>
      <c r="M51" s="12">
        <v>44</v>
      </c>
    </row>
    <row r="52" s="12" customFormat="1" spans="1:13">
      <c r="A52" s="12">
        <v>9155621</v>
      </c>
      <c r="B52" s="12" t="s">
        <v>13</v>
      </c>
      <c r="C52" s="12">
        <v>2552050565</v>
      </c>
      <c r="D52" s="12" t="s">
        <v>19</v>
      </c>
      <c r="E52" s="12" t="s">
        <v>71</v>
      </c>
      <c r="F52" s="12">
        <v>6.9</v>
      </c>
      <c r="H52" s="12">
        <v>0.99</v>
      </c>
      <c r="J52" s="12">
        <v>1</v>
      </c>
      <c r="K52" s="12">
        <v>0.5</v>
      </c>
      <c r="L52" s="12">
        <v>0</v>
      </c>
      <c r="M52" s="12">
        <v>41</v>
      </c>
    </row>
    <row r="53" s="12" customFormat="1" spans="1:13">
      <c r="A53" s="12">
        <v>9155621</v>
      </c>
      <c r="B53" s="12" t="s">
        <v>13</v>
      </c>
      <c r="C53" s="12">
        <v>2551943753</v>
      </c>
      <c r="D53" s="12" t="s">
        <v>23</v>
      </c>
      <c r="E53" s="12" t="s">
        <v>72</v>
      </c>
      <c r="F53" s="12">
        <v>8</v>
      </c>
      <c r="G53" s="12">
        <f>VLOOKUP(E53,[1]导表!$E$1:$G$65536,3,0)</f>
        <v>14.8</v>
      </c>
      <c r="K53" s="12">
        <v>1</v>
      </c>
      <c r="L53" s="12">
        <v>0</v>
      </c>
      <c r="M53" s="12">
        <v>40</v>
      </c>
    </row>
    <row r="54" s="12" customFormat="1" spans="1:13">
      <c r="A54" s="12">
        <v>9155621</v>
      </c>
      <c r="B54" s="12" t="s">
        <v>13</v>
      </c>
      <c r="C54" s="12">
        <v>3134147634</v>
      </c>
      <c r="D54" s="12" t="s">
        <v>73</v>
      </c>
      <c r="E54" s="12" t="s">
        <v>74</v>
      </c>
      <c r="F54" s="12">
        <v>14.8</v>
      </c>
      <c r="G54" s="12">
        <v>14.8</v>
      </c>
      <c r="H54" s="12">
        <v>8.8</v>
      </c>
      <c r="J54" s="12">
        <v>-1</v>
      </c>
      <c r="K54" s="12">
        <v>1</v>
      </c>
      <c r="L54" s="12">
        <v>0</v>
      </c>
      <c r="M54" s="12">
        <v>40</v>
      </c>
    </row>
    <row r="55" s="12" customFormat="1" spans="1:13">
      <c r="A55" s="12">
        <v>9155621</v>
      </c>
      <c r="B55" s="12" t="s">
        <v>13</v>
      </c>
      <c r="C55" s="12">
        <v>3220520437</v>
      </c>
      <c r="D55" s="12" t="s">
        <v>19</v>
      </c>
      <c r="E55" s="12" t="s">
        <v>75</v>
      </c>
      <c r="F55" s="12">
        <v>7</v>
      </c>
      <c r="H55" s="12">
        <v>0.01</v>
      </c>
      <c r="J55" s="12">
        <v>1</v>
      </c>
      <c r="K55" s="12">
        <v>0.5</v>
      </c>
      <c r="L55" s="12">
        <v>0</v>
      </c>
      <c r="M55" s="12">
        <v>39</v>
      </c>
    </row>
    <row r="56" s="12" customFormat="1" spans="1:13">
      <c r="A56" s="12">
        <v>9155621</v>
      </c>
      <c r="B56" s="12" t="s">
        <v>13</v>
      </c>
      <c r="C56" s="12">
        <v>3545413349</v>
      </c>
      <c r="D56" s="12" t="s">
        <v>26</v>
      </c>
      <c r="E56" s="12" t="s">
        <v>76</v>
      </c>
      <c r="F56" s="12">
        <v>15</v>
      </c>
      <c r="G56" s="12">
        <v>16.8</v>
      </c>
      <c r="K56" s="12">
        <v>1</v>
      </c>
      <c r="L56" s="12">
        <v>0</v>
      </c>
      <c r="M56" s="12">
        <v>37</v>
      </c>
    </row>
    <row r="57" s="12" customFormat="1" spans="1:13">
      <c r="A57" s="12">
        <v>9155621</v>
      </c>
      <c r="B57" s="12" t="s">
        <v>13</v>
      </c>
      <c r="C57" s="12">
        <v>3222063742</v>
      </c>
      <c r="D57" s="12" t="s">
        <v>19</v>
      </c>
      <c r="E57" s="12" t="s">
        <v>77</v>
      </c>
      <c r="F57" s="12">
        <v>13.8</v>
      </c>
      <c r="G57" s="12">
        <v>16.8</v>
      </c>
      <c r="H57" s="12">
        <v>10.8</v>
      </c>
      <c r="J57" s="12">
        <v>-1</v>
      </c>
      <c r="K57" s="12">
        <v>1</v>
      </c>
      <c r="L57" s="12">
        <v>0</v>
      </c>
      <c r="M57" s="12">
        <v>36</v>
      </c>
    </row>
    <row r="58" s="12" customFormat="1" spans="1:13">
      <c r="A58" s="12">
        <v>9155621</v>
      </c>
      <c r="B58" s="12" t="s">
        <v>13</v>
      </c>
      <c r="C58" s="12">
        <v>3134236370</v>
      </c>
      <c r="D58" s="12" t="s">
        <v>73</v>
      </c>
      <c r="E58" s="12" t="s">
        <v>78</v>
      </c>
      <c r="F58" s="12">
        <v>14.8</v>
      </c>
      <c r="G58" s="12">
        <v>15.8</v>
      </c>
      <c r="H58" s="12">
        <v>8.8</v>
      </c>
      <c r="I58" s="12">
        <v>8.9</v>
      </c>
      <c r="J58" s="12">
        <v>-1</v>
      </c>
      <c r="K58" s="12">
        <v>1</v>
      </c>
      <c r="L58" s="12">
        <v>0</v>
      </c>
      <c r="M58" s="12">
        <v>36</v>
      </c>
    </row>
    <row r="59" s="12" customFormat="1" spans="1:13">
      <c r="A59" s="12">
        <v>9155621</v>
      </c>
      <c r="B59" s="12" t="s">
        <v>13</v>
      </c>
      <c r="C59" s="12">
        <v>3494425735</v>
      </c>
      <c r="D59" s="12" t="s">
        <v>19</v>
      </c>
      <c r="E59" s="12" t="s">
        <v>79</v>
      </c>
      <c r="F59" s="12">
        <v>13.8</v>
      </c>
      <c r="G59" s="12">
        <v>15.8</v>
      </c>
      <c r="H59" s="12">
        <v>8.8</v>
      </c>
      <c r="I59" s="12">
        <v>10.8</v>
      </c>
      <c r="J59" s="12">
        <v>-1</v>
      </c>
      <c r="K59" s="12">
        <v>1</v>
      </c>
      <c r="L59" s="12">
        <v>0</v>
      </c>
      <c r="M59" s="12">
        <v>35</v>
      </c>
    </row>
    <row r="60" s="12" customFormat="1" spans="1:13">
      <c r="A60" s="12">
        <v>9155621</v>
      </c>
      <c r="B60" s="12" t="s">
        <v>13</v>
      </c>
      <c r="C60" s="12">
        <v>2551836149</v>
      </c>
      <c r="D60" s="12" t="s">
        <v>26</v>
      </c>
      <c r="E60" s="12" t="s">
        <v>80</v>
      </c>
      <c r="F60" s="12">
        <v>10</v>
      </c>
      <c r="G60" s="12">
        <f>VLOOKUP(E60,[1]导表!$E$1:$G$65536,3,0)</f>
        <v>14.8</v>
      </c>
      <c r="K60" s="12">
        <v>1</v>
      </c>
      <c r="L60" s="12">
        <v>0</v>
      </c>
      <c r="M60" s="12">
        <v>34</v>
      </c>
    </row>
    <row r="61" s="12" customFormat="1" spans="1:13">
      <c r="A61" s="12">
        <v>9155621</v>
      </c>
      <c r="B61" s="12" t="s">
        <v>13</v>
      </c>
      <c r="C61" s="12">
        <v>3356939336</v>
      </c>
      <c r="D61" s="12" t="s">
        <v>56</v>
      </c>
      <c r="E61" s="12" t="s">
        <v>81</v>
      </c>
      <c r="F61" s="12">
        <v>4</v>
      </c>
      <c r="H61" s="12">
        <v>0.99</v>
      </c>
      <c r="J61" s="12">
        <v>-1</v>
      </c>
      <c r="K61" s="12">
        <v>1</v>
      </c>
      <c r="L61" s="12">
        <v>0</v>
      </c>
      <c r="M61" s="12">
        <v>33</v>
      </c>
    </row>
    <row r="62" s="12" customFormat="1" spans="1:13">
      <c r="A62" s="12">
        <v>9155621</v>
      </c>
      <c r="B62" s="12" t="s">
        <v>13</v>
      </c>
      <c r="C62" s="12">
        <v>2551871840</v>
      </c>
      <c r="D62" s="12" t="s">
        <v>19</v>
      </c>
      <c r="E62" s="12" t="s">
        <v>82</v>
      </c>
      <c r="F62" s="12">
        <v>13.8</v>
      </c>
      <c r="G62" s="12">
        <v>16.8</v>
      </c>
      <c r="H62" s="12">
        <v>8.8</v>
      </c>
      <c r="I62" s="12">
        <v>9.9</v>
      </c>
      <c r="J62" s="12">
        <v>-1</v>
      </c>
      <c r="K62" s="12">
        <v>1</v>
      </c>
      <c r="L62" s="12">
        <v>0</v>
      </c>
      <c r="M62" s="12">
        <v>33</v>
      </c>
    </row>
    <row r="63" s="12" customFormat="1" spans="1:13">
      <c r="A63" s="12">
        <v>9155621</v>
      </c>
      <c r="B63" s="12" t="s">
        <v>13</v>
      </c>
      <c r="C63" s="12">
        <v>2551911333</v>
      </c>
      <c r="D63" s="12" t="s">
        <v>26</v>
      </c>
      <c r="E63" s="12" t="s">
        <v>83</v>
      </c>
      <c r="F63" s="12">
        <v>13</v>
      </c>
      <c r="G63" s="12">
        <f>VLOOKUP(E63,[1]导表!$E$1:$G$65536,3,0)</f>
        <v>15.8</v>
      </c>
      <c r="K63" s="12">
        <v>1</v>
      </c>
      <c r="L63" s="12">
        <v>0</v>
      </c>
      <c r="M63" s="12">
        <v>33</v>
      </c>
    </row>
    <row r="64" s="12" customFormat="1" spans="1:13">
      <c r="A64" s="12">
        <v>9155621</v>
      </c>
      <c r="B64" s="12" t="s">
        <v>13</v>
      </c>
      <c r="C64" s="12">
        <v>2552088566</v>
      </c>
      <c r="D64" s="12" t="s">
        <v>23</v>
      </c>
      <c r="E64" s="12" t="s">
        <v>84</v>
      </c>
      <c r="F64" s="12">
        <v>8</v>
      </c>
      <c r="G64" s="12">
        <f>VLOOKUP(E64,[1]导表!$E$1:$G$65536,3,0)</f>
        <v>14.8</v>
      </c>
      <c r="H64" s="12">
        <v>14.8</v>
      </c>
      <c r="J64" s="12">
        <v>-1</v>
      </c>
      <c r="K64" s="12">
        <v>1</v>
      </c>
      <c r="L64" s="12">
        <v>0</v>
      </c>
      <c r="M64" s="12">
        <v>33</v>
      </c>
    </row>
    <row r="65" s="12" customFormat="1" spans="1:13">
      <c r="A65" s="12">
        <v>9155621</v>
      </c>
      <c r="B65" s="12" t="s">
        <v>13</v>
      </c>
      <c r="C65" s="12">
        <v>2551836302</v>
      </c>
      <c r="D65" s="12" t="s">
        <v>34</v>
      </c>
      <c r="E65" s="12" t="s">
        <v>85</v>
      </c>
      <c r="F65" s="12">
        <v>9</v>
      </c>
      <c r="G65" s="12">
        <v>14.8</v>
      </c>
      <c r="K65" s="12">
        <v>1</v>
      </c>
      <c r="L65" s="12">
        <v>0</v>
      </c>
      <c r="M65" s="12">
        <v>33</v>
      </c>
    </row>
    <row r="66" s="12" customFormat="1" spans="1:13">
      <c r="A66" s="12">
        <v>9155621</v>
      </c>
      <c r="B66" s="12" t="s">
        <v>13</v>
      </c>
      <c r="C66" s="12">
        <v>2635332982</v>
      </c>
      <c r="D66" s="12" t="s">
        <v>61</v>
      </c>
      <c r="E66" s="12" t="s">
        <v>86</v>
      </c>
      <c r="F66" s="12">
        <v>16</v>
      </c>
      <c r="G66" s="12">
        <f>VLOOKUP(E66,[1]导表!$E$1:$G$65536,3,0)</f>
        <v>17.8</v>
      </c>
      <c r="K66" s="12">
        <v>1</v>
      </c>
      <c r="L66" s="12">
        <v>0</v>
      </c>
      <c r="M66" s="12">
        <v>33</v>
      </c>
    </row>
    <row r="67" s="12" customFormat="1" spans="1:13">
      <c r="A67" s="12">
        <v>9155621</v>
      </c>
      <c r="B67" s="12" t="s">
        <v>13</v>
      </c>
      <c r="C67" s="12">
        <v>2551943752</v>
      </c>
      <c r="D67" s="12" t="s">
        <v>23</v>
      </c>
      <c r="E67" s="12" t="s">
        <v>87</v>
      </c>
      <c r="F67" s="12">
        <v>8</v>
      </c>
      <c r="G67" s="12">
        <v>14.8</v>
      </c>
      <c r="K67" s="12">
        <v>1</v>
      </c>
      <c r="L67" s="12">
        <v>0</v>
      </c>
      <c r="M67" s="12">
        <v>32</v>
      </c>
    </row>
    <row r="68" s="12" customFormat="1" spans="1:13">
      <c r="A68" s="12">
        <v>9155621</v>
      </c>
      <c r="B68" s="12" t="s">
        <v>13</v>
      </c>
      <c r="C68" s="12">
        <v>3557980790</v>
      </c>
      <c r="D68" s="12" t="s">
        <v>26</v>
      </c>
      <c r="E68" s="12" t="s">
        <v>88</v>
      </c>
      <c r="F68" s="12">
        <v>14</v>
      </c>
      <c r="G68" s="12">
        <v>16.8</v>
      </c>
      <c r="K68" s="12">
        <v>1</v>
      </c>
      <c r="L68" s="12">
        <v>0</v>
      </c>
      <c r="M68" s="12">
        <v>32</v>
      </c>
    </row>
    <row r="69" s="12" customFormat="1" spans="1:13">
      <c r="A69" s="12">
        <v>9155621</v>
      </c>
      <c r="B69" s="12" t="s">
        <v>13</v>
      </c>
      <c r="C69" s="12">
        <v>3220527457</v>
      </c>
      <c r="D69" s="12" t="s">
        <v>19</v>
      </c>
      <c r="E69" s="12" t="s">
        <v>89</v>
      </c>
      <c r="F69" s="12">
        <v>13.8</v>
      </c>
      <c r="G69" s="12">
        <v>16.8</v>
      </c>
      <c r="H69" s="12">
        <v>11.8</v>
      </c>
      <c r="J69" s="12">
        <v>-1</v>
      </c>
      <c r="K69" s="12">
        <v>1</v>
      </c>
      <c r="L69" s="12">
        <v>0</v>
      </c>
      <c r="M69" s="12">
        <v>31</v>
      </c>
    </row>
    <row r="70" s="12" customFormat="1" spans="1:13">
      <c r="A70" s="12">
        <v>9155621</v>
      </c>
      <c r="B70" s="12" t="s">
        <v>13</v>
      </c>
      <c r="C70" s="12">
        <v>2551836148</v>
      </c>
      <c r="D70" s="12" t="s">
        <v>26</v>
      </c>
      <c r="E70" s="12" t="s">
        <v>90</v>
      </c>
      <c r="F70" s="12">
        <v>12</v>
      </c>
      <c r="G70" s="12">
        <f>VLOOKUP(E70,[1]导表!$E$1:$G$65536,3,0)</f>
        <v>15.8</v>
      </c>
      <c r="K70" s="12">
        <v>1</v>
      </c>
      <c r="L70" s="12">
        <v>0</v>
      </c>
      <c r="M70" s="12">
        <v>31</v>
      </c>
    </row>
    <row r="71" s="12" customFormat="1" spans="1:13">
      <c r="A71" s="12">
        <v>9155621</v>
      </c>
      <c r="B71" s="12" t="s">
        <v>13</v>
      </c>
      <c r="C71" s="12">
        <v>3357018495</v>
      </c>
      <c r="D71" s="12" t="s">
        <v>19</v>
      </c>
      <c r="E71" s="12" t="s">
        <v>91</v>
      </c>
      <c r="F71" s="12">
        <v>12.9</v>
      </c>
      <c r="G71" s="12">
        <v>15.8</v>
      </c>
      <c r="H71" s="12">
        <v>10.9</v>
      </c>
      <c r="J71" s="12">
        <v>-1</v>
      </c>
      <c r="K71" s="12">
        <v>2</v>
      </c>
      <c r="L71" s="12">
        <v>0</v>
      </c>
      <c r="M71" s="12">
        <v>30</v>
      </c>
    </row>
    <row r="72" s="12" customFormat="1" spans="1:13">
      <c r="A72" s="12">
        <v>9155621</v>
      </c>
      <c r="B72" s="12" t="s">
        <v>13</v>
      </c>
      <c r="C72" s="12">
        <v>2551871706</v>
      </c>
      <c r="D72" s="12" t="s">
        <v>26</v>
      </c>
      <c r="E72" s="12" t="s">
        <v>92</v>
      </c>
      <c r="F72" s="12">
        <v>12</v>
      </c>
      <c r="G72" s="12">
        <f>VLOOKUP(E72,[1]导表!$E$1:$G$65536,3,0)</f>
        <v>15.8</v>
      </c>
      <c r="K72" s="12">
        <v>1</v>
      </c>
      <c r="L72" s="12">
        <v>0</v>
      </c>
      <c r="M72" s="12">
        <v>30</v>
      </c>
    </row>
    <row r="73" s="12" customFormat="1" spans="1:13">
      <c r="A73" s="12">
        <v>9155621</v>
      </c>
      <c r="B73" s="12" t="s">
        <v>13</v>
      </c>
      <c r="C73" s="12">
        <v>3091448871</v>
      </c>
      <c r="D73" s="12" t="s">
        <v>19</v>
      </c>
      <c r="E73" s="12" t="s">
        <v>93</v>
      </c>
      <c r="F73" s="12">
        <v>13.8</v>
      </c>
      <c r="G73" s="12">
        <v>15.8</v>
      </c>
      <c r="H73" s="12">
        <v>10.8</v>
      </c>
      <c r="J73" s="12">
        <v>-1</v>
      </c>
      <c r="K73" s="12">
        <v>1</v>
      </c>
      <c r="L73" s="12">
        <v>0</v>
      </c>
      <c r="M73" s="12">
        <v>28</v>
      </c>
    </row>
    <row r="74" s="12" customFormat="1" spans="1:13">
      <c r="A74" s="12">
        <v>9155621</v>
      </c>
      <c r="B74" s="12" t="s">
        <v>13</v>
      </c>
      <c r="C74" s="12">
        <v>3220431020</v>
      </c>
      <c r="D74" s="12" t="s">
        <v>19</v>
      </c>
      <c r="E74" s="12" t="s">
        <v>94</v>
      </c>
      <c r="F74" s="12">
        <v>13.4</v>
      </c>
      <c r="G74" s="12">
        <v>17.8</v>
      </c>
      <c r="H74" s="12">
        <v>12.8</v>
      </c>
      <c r="J74" s="12">
        <v>-1</v>
      </c>
      <c r="K74" s="12">
        <v>1.5</v>
      </c>
      <c r="L74" s="12">
        <v>0</v>
      </c>
      <c r="M74" s="12">
        <v>28</v>
      </c>
    </row>
    <row r="75" s="12" customFormat="1" spans="1:13">
      <c r="A75" s="12">
        <v>9155621</v>
      </c>
      <c r="B75" s="12" t="s">
        <v>13</v>
      </c>
      <c r="C75" s="12">
        <v>3356877456</v>
      </c>
      <c r="D75" s="12" t="s">
        <v>56</v>
      </c>
      <c r="E75" s="12" t="s">
        <v>95</v>
      </c>
      <c r="F75" s="12">
        <v>4</v>
      </c>
      <c r="H75" s="12">
        <v>0.99</v>
      </c>
      <c r="J75" s="12">
        <v>-1</v>
      </c>
      <c r="K75" s="12">
        <v>1</v>
      </c>
      <c r="L75" s="12">
        <v>0</v>
      </c>
      <c r="M75" s="12">
        <v>27</v>
      </c>
    </row>
    <row r="76" s="12" customFormat="1" spans="1:13">
      <c r="A76" s="12">
        <v>9155621</v>
      </c>
      <c r="B76" s="12" t="s">
        <v>13</v>
      </c>
      <c r="C76" s="12">
        <v>2551911493</v>
      </c>
      <c r="D76" s="12" t="s">
        <v>19</v>
      </c>
      <c r="E76" s="12" t="s">
        <v>96</v>
      </c>
      <c r="F76" s="12">
        <v>13.8</v>
      </c>
      <c r="G76" s="12">
        <v>15.8</v>
      </c>
      <c r="H76" s="12">
        <v>8.8</v>
      </c>
      <c r="J76" s="12">
        <v>-1</v>
      </c>
      <c r="K76" s="12">
        <v>1</v>
      </c>
      <c r="L76" s="12">
        <v>0</v>
      </c>
      <c r="M76" s="12">
        <v>26</v>
      </c>
    </row>
    <row r="77" s="12" customFormat="1" spans="1:13">
      <c r="A77" s="12">
        <v>9155621</v>
      </c>
      <c r="B77" s="12" t="s">
        <v>13</v>
      </c>
      <c r="C77" s="12">
        <v>3670884806</v>
      </c>
      <c r="D77" s="12" t="s">
        <v>26</v>
      </c>
      <c r="E77" s="12" t="s">
        <v>97</v>
      </c>
      <c r="F77" s="12">
        <v>13</v>
      </c>
      <c r="G77" s="12">
        <v>15.8</v>
      </c>
      <c r="K77" s="12">
        <v>1</v>
      </c>
      <c r="L77" s="12">
        <v>0</v>
      </c>
      <c r="M77" s="12">
        <v>25</v>
      </c>
    </row>
    <row r="78" s="12" customFormat="1" spans="1:13">
      <c r="A78" s="12">
        <v>9155621</v>
      </c>
      <c r="B78" s="12" t="s">
        <v>13</v>
      </c>
      <c r="C78" s="12">
        <v>3091579735</v>
      </c>
      <c r="D78" s="12" t="s">
        <v>19</v>
      </c>
      <c r="E78" s="12" t="s">
        <v>98</v>
      </c>
      <c r="F78" s="12">
        <v>13.8</v>
      </c>
      <c r="G78" s="12">
        <v>15.8</v>
      </c>
      <c r="H78" s="12">
        <v>8.8</v>
      </c>
      <c r="J78" s="12">
        <v>-1</v>
      </c>
      <c r="K78" s="12">
        <v>1</v>
      </c>
      <c r="L78" s="12">
        <v>0</v>
      </c>
      <c r="M78" s="12">
        <v>24</v>
      </c>
    </row>
    <row r="79" s="12" customFormat="1" spans="1:13">
      <c r="A79" s="12">
        <v>9155621</v>
      </c>
      <c r="B79" s="12" t="s">
        <v>13</v>
      </c>
      <c r="C79" s="12">
        <v>2552017687</v>
      </c>
      <c r="D79" s="12" t="s">
        <v>63</v>
      </c>
      <c r="E79" s="12" t="s">
        <v>99</v>
      </c>
      <c r="F79" s="12">
        <v>16</v>
      </c>
      <c r="G79" s="12">
        <f>VLOOKUP(E79,[1]导表!$E$1:$G$65536,3,0)</f>
        <v>16.8</v>
      </c>
      <c r="K79" s="12">
        <v>1</v>
      </c>
      <c r="L79" s="12">
        <v>0</v>
      </c>
      <c r="M79" s="12">
        <v>23</v>
      </c>
    </row>
    <row r="80" s="12" customFormat="1" spans="1:13">
      <c r="A80" s="12">
        <v>9155621</v>
      </c>
      <c r="B80" s="12" t="s">
        <v>13</v>
      </c>
      <c r="C80" s="12">
        <v>2552088519</v>
      </c>
      <c r="D80" s="12" t="s">
        <v>26</v>
      </c>
      <c r="E80" s="12" t="s">
        <v>100</v>
      </c>
      <c r="F80" s="12">
        <v>12</v>
      </c>
      <c r="G80" s="12">
        <f>VLOOKUP(E80,[1]导表!$E$1:$G$65536,3,0)</f>
        <v>15.8</v>
      </c>
      <c r="K80" s="12">
        <v>1</v>
      </c>
      <c r="L80" s="12">
        <v>0</v>
      </c>
      <c r="M80" s="12">
        <v>22</v>
      </c>
    </row>
    <row r="81" s="12" customFormat="1" spans="1:13">
      <c r="A81" s="12">
        <v>9155621</v>
      </c>
      <c r="B81" s="12" t="s">
        <v>13</v>
      </c>
      <c r="C81" s="12">
        <v>3222162993</v>
      </c>
      <c r="D81" s="12" t="s">
        <v>19</v>
      </c>
      <c r="E81" s="12" t="s">
        <v>74</v>
      </c>
      <c r="F81" s="12">
        <v>13.9</v>
      </c>
      <c r="G81" s="12">
        <v>15.8</v>
      </c>
      <c r="H81" s="12">
        <v>8.8</v>
      </c>
      <c r="J81" s="12">
        <v>-1</v>
      </c>
      <c r="K81" s="12">
        <v>1</v>
      </c>
      <c r="L81" s="12">
        <v>0</v>
      </c>
      <c r="M81" s="12">
        <v>22</v>
      </c>
    </row>
    <row r="82" s="12" customFormat="1" spans="1:13">
      <c r="A82" s="12">
        <v>9155621</v>
      </c>
      <c r="B82" s="12" t="s">
        <v>13</v>
      </c>
      <c r="C82" s="12">
        <v>3222211543</v>
      </c>
      <c r="D82" s="12" t="s">
        <v>19</v>
      </c>
      <c r="E82" s="12" t="s">
        <v>78</v>
      </c>
      <c r="F82" s="12">
        <v>13.9</v>
      </c>
      <c r="G82" s="12">
        <v>15.8</v>
      </c>
      <c r="H82" s="12">
        <v>8.8</v>
      </c>
      <c r="J82" s="12">
        <v>-1</v>
      </c>
      <c r="K82" s="12">
        <v>1</v>
      </c>
      <c r="L82" s="12">
        <v>0</v>
      </c>
      <c r="M82" s="12">
        <v>21</v>
      </c>
    </row>
    <row r="83" s="12" customFormat="1" spans="1:13">
      <c r="A83" s="12">
        <v>9155621</v>
      </c>
      <c r="B83" s="12" t="s">
        <v>13</v>
      </c>
      <c r="C83" s="12">
        <v>2552017573</v>
      </c>
      <c r="D83" s="12" t="s">
        <v>26</v>
      </c>
      <c r="E83" s="12" t="s">
        <v>101</v>
      </c>
      <c r="F83" s="12">
        <v>13</v>
      </c>
      <c r="G83" s="12">
        <f>VLOOKUP(E83,[1]导表!$E$1:$G$65536,3,0)</f>
        <v>15.8</v>
      </c>
      <c r="K83" s="12">
        <v>1</v>
      </c>
      <c r="L83" s="12">
        <v>0</v>
      </c>
      <c r="M83" s="12">
        <v>21</v>
      </c>
    </row>
    <row r="84" s="12" customFormat="1" spans="1:13">
      <c r="A84" s="12">
        <v>9155621</v>
      </c>
      <c r="B84" s="12" t="s">
        <v>13</v>
      </c>
      <c r="C84" s="12">
        <v>2552088461</v>
      </c>
      <c r="D84" s="12" t="s">
        <v>26</v>
      </c>
      <c r="E84" s="12" t="s">
        <v>102</v>
      </c>
      <c r="F84" s="12">
        <v>12</v>
      </c>
      <c r="G84" s="12">
        <f>VLOOKUP(E84,[1]导表!$E$1:$G$65536,3,0)</f>
        <v>15.8</v>
      </c>
      <c r="K84" s="12">
        <v>1</v>
      </c>
      <c r="L84" s="12">
        <v>0</v>
      </c>
      <c r="M84" s="12">
        <v>20</v>
      </c>
    </row>
    <row r="85" s="12" customFormat="1" spans="1:13">
      <c r="A85" s="12">
        <v>9155621</v>
      </c>
      <c r="B85" s="12" t="s">
        <v>13</v>
      </c>
      <c r="C85" s="12">
        <v>2551911437</v>
      </c>
      <c r="D85" s="12" t="s">
        <v>23</v>
      </c>
      <c r="E85" s="12" t="s">
        <v>103</v>
      </c>
      <c r="F85" s="12">
        <v>13.8</v>
      </c>
      <c r="G85" s="12">
        <v>15.8</v>
      </c>
      <c r="H85" s="12">
        <v>8.8</v>
      </c>
      <c r="J85" s="12">
        <v>-1</v>
      </c>
      <c r="K85" s="12">
        <v>1</v>
      </c>
      <c r="L85" s="12">
        <v>0</v>
      </c>
      <c r="M85" s="12">
        <v>20</v>
      </c>
    </row>
    <row r="86" s="12" customFormat="1" spans="1:13">
      <c r="A86" s="12">
        <v>9155621</v>
      </c>
      <c r="B86" s="12" t="s">
        <v>13</v>
      </c>
      <c r="C86" s="12">
        <v>3637136210</v>
      </c>
      <c r="D86" s="12" t="s">
        <v>23</v>
      </c>
      <c r="E86" s="12" t="s">
        <v>104</v>
      </c>
      <c r="F86" s="12">
        <v>12</v>
      </c>
      <c r="G86" s="12">
        <v>14.8</v>
      </c>
      <c r="K86" s="12">
        <v>1</v>
      </c>
      <c r="L86" s="12">
        <v>0</v>
      </c>
      <c r="M86" s="12">
        <v>20</v>
      </c>
    </row>
    <row r="87" s="12" customFormat="1" spans="1:13">
      <c r="A87" s="12">
        <v>9155621</v>
      </c>
      <c r="B87" s="12" t="s">
        <v>13</v>
      </c>
      <c r="C87" s="12">
        <v>2635332994</v>
      </c>
      <c r="D87" s="12" t="s">
        <v>61</v>
      </c>
      <c r="E87" s="12" t="s">
        <v>105</v>
      </c>
      <c r="F87" s="12">
        <v>17</v>
      </c>
      <c r="G87" s="12">
        <f>VLOOKUP(E87,[1]导表!$E$1:$G$65536,3,0)</f>
        <v>16.8</v>
      </c>
      <c r="K87" s="12">
        <v>1</v>
      </c>
      <c r="L87" s="12">
        <v>0</v>
      </c>
      <c r="M87" s="12">
        <v>20</v>
      </c>
    </row>
    <row r="88" s="12" customFormat="1" spans="1:13">
      <c r="A88" s="12">
        <v>9155621</v>
      </c>
      <c r="B88" s="12" t="s">
        <v>13</v>
      </c>
      <c r="C88" s="12">
        <v>3356750678</v>
      </c>
      <c r="D88" s="12" t="s">
        <v>19</v>
      </c>
      <c r="E88" s="12" t="s">
        <v>106</v>
      </c>
      <c r="F88" s="12">
        <v>16.8</v>
      </c>
      <c r="G88" s="12">
        <v>17.8</v>
      </c>
      <c r="H88" s="12">
        <v>0.01</v>
      </c>
      <c r="J88" s="12">
        <v>1</v>
      </c>
      <c r="K88" s="12">
        <v>1.5</v>
      </c>
      <c r="L88" s="12">
        <v>0</v>
      </c>
      <c r="M88" s="12">
        <v>20</v>
      </c>
    </row>
    <row r="89" s="12" customFormat="1" spans="1:13">
      <c r="A89" s="12">
        <v>9155621</v>
      </c>
      <c r="B89" s="12" t="s">
        <v>13</v>
      </c>
      <c r="C89" s="12">
        <v>3342988326</v>
      </c>
      <c r="D89" s="12" t="s">
        <v>26</v>
      </c>
      <c r="E89" s="12" t="s">
        <v>107</v>
      </c>
      <c r="F89" s="12">
        <v>13</v>
      </c>
      <c r="G89" s="12">
        <v>15.8</v>
      </c>
      <c r="K89" s="12">
        <v>1</v>
      </c>
      <c r="L89" s="12">
        <v>0</v>
      </c>
      <c r="M89" s="12">
        <v>19</v>
      </c>
    </row>
    <row r="90" s="12" customFormat="1" spans="1:13">
      <c r="A90" s="12">
        <v>9155621</v>
      </c>
      <c r="B90" s="12" t="s">
        <v>13</v>
      </c>
      <c r="C90" s="12">
        <v>2552050573</v>
      </c>
      <c r="D90" s="12" t="s">
        <v>19</v>
      </c>
      <c r="E90" s="12" t="s">
        <v>55</v>
      </c>
      <c r="F90" s="12">
        <v>13.8</v>
      </c>
      <c r="G90" s="12">
        <v>15.8</v>
      </c>
      <c r="H90" s="12">
        <v>9.9</v>
      </c>
      <c r="J90" s="12">
        <v>-1</v>
      </c>
      <c r="K90" s="12">
        <v>1</v>
      </c>
      <c r="L90" s="12">
        <v>0</v>
      </c>
      <c r="M90" s="12">
        <v>19</v>
      </c>
    </row>
    <row r="91" s="12" customFormat="1" spans="1:13">
      <c r="A91" s="12">
        <v>9155621</v>
      </c>
      <c r="B91" s="12" t="s">
        <v>13</v>
      </c>
      <c r="C91" s="12">
        <v>2635332990</v>
      </c>
      <c r="D91" s="12" t="s">
        <v>61</v>
      </c>
      <c r="E91" s="12" t="s">
        <v>108</v>
      </c>
      <c r="F91" s="12">
        <v>17</v>
      </c>
      <c r="G91" s="12">
        <f>VLOOKUP(E91,[1]导表!$E$1:$G$65536,3,0)</f>
        <v>16.8</v>
      </c>
      <c r="K91" s="12">
        <v>1</v>
      </c>
      <c r="L91" s="12">
        <v>0</v>
      </c>
      <c r="M91" s="12">
        <v>19</v>
      </c>
    </row>
    <row r="92" s="12" customFormat="1" spans="1:13">
      <c r="A92" s="12">
        <v>9155621</v>
      </c>
      <c r="B92" s="12" t="s">
        <v>13</v>
      </c>
      <c r="C92" s="12">
        <v>3092104578</v>
      </c>
      <c r="D92" s="12" t="s">
        <v>19</v>
      </c>
      <c r="E92" s="12" t="s">
        <v>109</v>
      </c>
      <c r="F92" s="12">
        <v>13.8</v>
      </c>
      <c r="G92" s="12">
        <v>15.8</v>
      </c>
      <c r="H92" s="12">
        <v>8.8</v>
      </c>
      <c r="J92" s="12">
        <v>-1</v>
      </c>
      <c r="K92" s="12">
        <v>1</v>
      </c>
      <c r="L92" s="12">
        <v>0</v>
      </c>
      <c r="M92" s="12">
        <v>18</v>
      </c>
    </row>
    <row r="93" s="12" customFormat="1" spans="1:13">
      <c r="A93" s="12">
        <v>9155621</v>
      </c>
      <c r="B93" s="12" t="s">
        <v>13</v>
      </c>
      <c r="C93" s="12">
        <v>3347417027</v>
      </c>
      <c r="D93" s="12" t="s">
        <v>110</v>
      </c>
      <c r="E93" s="12" t="s">
        <v>111</v>
      </c>
      <c r="F93" s="12">
        <v>29.8</v>
      </c>
      <c r="H93" s="12">
        <v>14.8</v>
      </c>
      <c r="J93" s="12">
        <v>-1</v>
      </c>
      <c r="K93" s="12">
        <v>2</v>
      </c>
      <c r="L93" s="12">
        <v>0</v>
      </c>
      <c r="M93" s="12">
        <v>17</v>
      </c>
    </row>
    <row r="94" s="12" customFormat="1" spans="1:13">
      <c r="A94" s="12">
        <v>9155621</v>
      </c>
      <c r="B94" s="12" t="s">
        <v>13</v>
      </c>
      <c r="C94" s="12">
        <v>2551911467</v>
      </c>
      <c r="D94" s="12" t="s">
        <v>63</v>
      </c>
      <c r="E94" s="12" t="s">
        <v>112</v>
      </c>
      <c r="F94" s="12">
        <v>14</v>
      </c>
      <c r="G94" s="12">
        <f>VLOOKUP(E94,[1]导表!$E$1:$G$65536,3,0)</f>
        <v>15.8</v>
      </c>
      <c r="K94" s="12">
        <v>1</v>
      </c>
      <c r="L94" s="12">
        <v>0</v>
      </c>
      <c r="M94" s="12">
        <v>17</v>
      </c>
    </row>
    <row r="95" s="12" customFormat="1" spans="1:13">
      <c r="A95" s="12">
        <v>9155621</v>
      </c>
      <c r="B95" s="12" t="s">
        <v>13</v>
      </c>
      <c r="C95" s="12">
        <v>3347308358</v>
      </c>
      <c r="D95" s="12" t="s">
        <v>110</v>
      </c>
      <c r="E95" s="12" t="s">
        <v>113</v>
      </c>
      <c r="F95" s="12">
        <v>29.6</v>
      </c>
      <c r="H95" s="12">
        <v>14.8</v>
      </c>
      <c r="J95" s="12">
        <v>-1</v>
      </c>
      <c r="K95" s="12">
        <v>2</v>
      </c>
      <c r="L95" s="12">
        <v>0</v>
      </c>
      <c r="M95" s="12">
        <v>16</v>
      </c>
    </row>
    <row r="96" s="12" customFormat="1" spans="1:13">
      <c r="A96" s="12">
        <v>9155621</v>
      </c>
      <c r="B96" s="12" t="s">
        <v>13</v>
      </c>
      <c r="C96" s="12">
        <v>3347380749</v>
      </c>
      <c r="D96" s="12" t="s">
        <v>110</v>
      </c>
      <c r="E96" s="12" t="s">
        <v>114</v>
      </c>
      <c r="F96" s="12">
        <v>29.6</v>
      </c>
      <c r="H96" s="12">
        <v>15.8</v>
      </c>
      <c r="J96" s="12">
        <v>-1</v>
      </c>
      <c r="K96" s="12">
        <v>2</v>
      </c>
      <c r="L96" s="12">
        <v>0</v>
      </c>
      <c r="M96" s="12">
        <v>15</v>
      </c>
    </row>
    <row r="97" s="12" customFormat="1" spans="1:13">
      <c r="A97" s="12">
        <v>9155621</v>
      </c>
      <c r="B97" s="12" t="s">
        <v>13</v>
      </c>
      <c r="C97" s="12">
        <v>3347266854</v>
      </c>
      <c r="D97" s="12" t="s">
        <v>110</v>
      </c>
      <c r="E97" s="12" t="s">
        <v>84</v>
      </c>
      <c r="F97" s="12">
        <v>29.6</v>
      </c>
      <c r="G97" s="12">
        <f>VLOOKUP(E97,[1]导表!$E$1:$G$65536,3,0)</f>
        <v>14.8</v>
      </c>
      <c r="H97" s="12">
        <v>14.8</v>
      </c>
      <c r="J97" s="12">
        <v>-1</v>
      </c>
      <c r="K97" s="12">
        <v>0</v>
      </c>
      <c r="L97" s="12">
        <v>0</v>
      </c>
      <c r="M97" s="12">
        <v>15</v>
      </c>
    </row>
    <row r="98" s="12" customFormat="1" spans="1:13">
      <c r="A98" s="12">
        <v>9155621</v>
      </c>
      <c r="B98" s="12" t="s">
        <v>13</v>
      </c>
      <c r="C98" s="12">
        <v>3668393066</v>
      </c>
      <c r="D98" s="12" t="s">
        <v>19</v>
      </c>
      <c r="E98" s="12" t="s">
        <v>115</v>
      </c>
      <c r="F98" s="12">
        <v>13.8</v>
      </c>
      <c r="G98" s="12">
        <v>16.8</v>
      </c>
      <c r="H98" s="12">
        <v>8.8</v>
      </c>
      <c r="I98" s="12">
        <v>11.9</v>
      </c>
      <c r="J98" s="12">
        <v>-1</v>
      </c>
      <c r="K98" s="12">
        <v>1</v>
      </c>
      <c r="L98" s="12">
        <v>0</v>
      </c>
      <c r="M98" s="12">
        <v>15</v>
      </c>
    </row>
    <row r="99" s="12" customFormat="1" spans="1:13">
      <c r="A99" s="12">
        <v>9155621</v>
      </c>
      <c r="B99" s="12" t="s">
        <v>13</v>
      </c>
      <c r="C99" s="12">
        <v>2552088620</v>
      </c>
      <c r="D99" s="12" t="s">
        <v>116</v>
      </c>
      <c r="E99" s="12" t="s">
        <v>117</v>
      </c>
      <c r="F99" s="12">
        <v>18</v>
      </c>
      <c r="G99" s="12">
        <f>VLOOKUP(E99,[1]导表!$E$1:$G$65536,3,0)</f>
        <v>16.8</v>
      </c>
      <c r="K99" s="12">
        <v>1</v>
      </c>
      <c r="L99" s="12">
        <v>0</v>
      </c>
      <c r="M99" s="12">
        <v>14</v>
      </c>
    </row>
    <row r="100" s="12" customFormat="1" spans="1:13">
      <c r="A100" s="12">
        <v>9155621</v>
      </c>
      <c r="B100" s="12" t="s">
        <v>13</v>
      </c>
      <c r="C100" s="12">
        <v>2551871809</v>
      </c>
      <c r="D100" s="12" t="s">
        <v>63</v>
      </c>
      <c r="E100" s="12" t="s">
        <v>118</v>
      </c>
      <c r="F100" s="12">
        <v>14</v>
      </c>
      <c r="G100" s="12">
        <f>VLOOKUP(E100,[1]导表!$E$1:$G$65536,3,0)</f>
        <v>14.8</v>
      </c>
      <c r="K100" s="12">
        <v>1</v>
      </c>
      <c r="L100" s="12">
        <v>0</v>
      </c>
      <c r="M100" s="12">
        <v>14</v>
      </c>
    </row>
    <row r="101" s="12" customFormat="1" spans="1:13">
      <c r="A101" s="12">
        <v>9155621</v>
      </c>
      <c r="B101" s="12" t="s">
        <v>13</v>
      </c>
      <c r="C101" s="12">
        <v>3356976970</v>
      </c>
      <c r="D101" s="12" t="s">
        <v>56</v>
      </c>
      <c r="E101" s="12" t="s">
        <v>119</v>
      </c>
      <c r="F101" s="12">
        <v>4</v>
      </c>
      <c r="H101" s="12">
        <v>0.99</v>
      </c>
      <c r="J101" s="12">
        <v>-1</v>
      </c>
      <c r="K101" s="12">
        <v>1</v>
      </c>
      <c r="L101" s="12">
        <v>0</v>
      </c>
      <c r="M101" s="12">
        <v>14</v>
      </c>
    </row>
    <row r="102" s="12" customFormat="1" spans="1:13">
      <c r="A102" s="12">
        <v>9155621</v>
      </c>
      <c r="B102" s="12" t="s">
        <v>13</v>
      </c>
      <c r="C102" s="12">
        <v>2552050463</v>
      </c>
      <c r="D102" s="12" t="s">
        <v>26</v>
      </c>
      <c r="E102" s="12" t="s">
        <v>120</v>
      </c>
      <c r="F102" s="12">
        <v>13</v>
      </c>
      <c r="G102" s="12">
        <f>VLOOKUP(E102,[1]导表!$E$1:$G$65536,3,0)</f>
        <v>15.8</v>
      </c>
      <c r="K102" s="12">
        <v>1</v>
      </c>
      <c r="L102" s="12">
        <v>0</v>
      </c>
      <c r="M102" s="12">
        <v>14</v>
      </c>
    </row>
    <row r="103" s="12" customFormat="1" spans="1:13">
      <c r="A103" s="12">
        <v>9155621</v>
      </c>
      <c r="B103" s="12" t="s">
        <v>13</v>
      </c>
      <c r="C103" s="12">
        <v>3347308360</v>
      </c>
      <c r="D103" s="12" t="s">
        <v>110</v>
      </c>
      <c r="E103" s="12" t="s">
        <v>65</v>
      </c>
      <c r="F103" s="12">
        <v>29.6</v>
      </c>
      <c r="G103" s="12">
        <f>VLOOKUP(E103,[1]导表!$E$1:$G$65536,3,0)</f>
        <v>14.8</v>
      </c>
      <c r="H103" s="12">
        <v>8.8</v>
      </c>
      <c r="J103" s="12">
        <v>-1</v>
      </c>
      <c r="K103" s="12">
        <v>2</v>
      </c>
      <c r="L103" s="12">
        <v>0</v>
      </c>
      <c r="M103" s="12">
        <v>14</v>
      </c>
    </row>
    <row r="104" s="12" customFormat="1" spans="1:13">
      <c r="A104" s="12">
        <v>9155621</v>
      </c>
      <c r="B104" s="12" t="s">
        <v>13</v>
      </c>
      <c r="C104" s="12">
        <v>2552050550</v>
      </c>
      <c r="D104" s="12" t="s">
        <v>34</v>
      </c>
      <c r="E104" s="12" t="s">
        <v>121</v>
      </c>
      <c r="F104" s="12">
        <v>9</v>
      </c>
      <c r="G104" s="12">
        <v>14.8</v>
      </c>
      <c r="K104" s="12">
        <v>1</v>
      </c>
      <c r="L104" s="12">
        <v>0</v>
      </c>
      <c r="M104" s="12">
        <v>14</v>
      </c>
    </row>
    <row r="105" s="12" customFormat="1" spans="1:13">
      <c r="A105" s="12">
        <v>9155621</v>
      </c>
      <c r="B105" s="12" t="s">
        <v>13</v>
      </c>
      <c r="C105" s="12">
        <v>2552088647</v>
      </c>
      <c r="D105" s="12" t="s">
        <v>19</v>
      </c>
      <c r="E105" s="12" t="s">
        <v>44</v>
      </c>
      <c r="F105" s="12">
        <v>13</v>
      </c>
      <c r="G105" s="12">
        <v>15.8</v>
      </c>
      <c r="H105" s="12">
        <v>8.8</v>
      </c>
      <c r="J105" s="12">
        <v>-1</v>
      </c>
      <c r="K105" s="12">
        <v>1.8</v>
      </c>
      <c r="L105" s="12">
        <v>0</v>
      </c>
      <c r="M105" s="12">
        <v>14</v>
      </c>
    </row>
    <row r="106" s="12" customFormat="1" spans="1:13">
      <c r="A106" s="12">
        <v>9155621</v>
      </c>
      <c r="B106" s="12" t="s">
        <v>13</v>
      </c>
      <c r="C106" s="12">
        <v>2635360302</v>
      </c>
      <c r="D106" s="12" t="s">
        <v>61</v>
      </c>
      <c r="E106" s="12" t="s">
        <v>122</v>
      </c>
      <c r="F106" s="12">
        <v>17</v>
      </c>
      <c r="G106" s="12">
        <f>VLOOKUP(E106,[1]导表!$E$1:$G$65536,3,0)</f>
        <v>15.8</v>
      </c>
      <c r="K106" s="12">
        <v>1</v>
      </c>
      <c r="L106" s="12">
        <v>0</v>
      </c>
      <c r="M106" s="12">
        <v>14</v>
      </c>
    </row>
    <row r="107" s="12" customFormat="1" spans="1:13">
      <c r="A107" s="12">
        <v>9155621</v>
      </c>
      <c r="B107" s="12" t="s">
        <v>13</v>
      </c>
      <c r="C107" s="12">
        <v>3091377100</v>
      </c>
      <c r="D107" s="12" t="s">
        <v>19</v>
      </c>
      <c r="E107" s="12" t="s">
        <v>123</v>
      </c>
      <c r="F107" s="12">
        <v>13.8</v>
      </c>
      <c r="G107" s="12">
        <v>15.8</v>
      </c>
      <c r="H107" s="12">
        <v>9.9</v>
      </c>
      <c r="J107" s="12">
        <v>-1</v>
      </c>
      <c r="K107" s="12">
        <v>1</v>
      </c>
      <c r="L107" s="12">
        <v>0</v>
      </c>
      <c r="M107" s="12">
        <v>13</v>
      </c>
    </row>
    <row r="108" s="12" customFormat="1" spans="1:13">
      <c r="A108" s="12">
        <v>9155621</v>
      </c>
      <c r="B108" s="12" t="s">
        <v>13</v>
      </c>
      <c r="C108" s="12">
        <v>2551976182</v>
      </c>
      <c r="D108" s="12" t="s">
        <v>116</v>
      </c>
      <c r="E108" s="12" t="s">
        <v>124</v>
      </c>
      <c r="F108" s="12">
        <v>17</v>
      </c>
      <c r="G108" s="12">
        <f>VLOOKUP(E108,[1]导表!$E$1:$G$65536,3,0)</f>
        <v>16.8</v>
      </c>
      <c r="K108" s="12">
        <v>1</v>
      </c>
      <c r="L108" s="12">
        <v>0</v>
      </c>
      <c r="M108" s="12">
        <v>12</v>
      </c>
    </row>
    <row r="109" s="12" customFormat="1" spans="1:13">
      <c r="A109" s="12">
        <v>9155621</v>
      </c>
      <c r="B109" s="12" t="s">
        <v>13</v>
      </c>
      <c r="C109" s="12">
        <v>3895842712</v>
      </c>
      <c r="D109" s="12" t="s">
        <v>125</v>
      </c>
      <c r="E109" s="12" t="s">
        <v>126</v>
      </c>
      <c r="F109" s="12">
        <v>13</v>
      </c>
      <c r="G109" s="12">
        <v>15.8</v>
      </c>
      <c r="H109" s="12">
        <v>8.8</v>
      </c>
      <c r="J109" s="12">
        <v>-1</v>
      </c>
      <c r="K109" s="12">
        <v>1</v>
      </c>
      <c r="L109" s="12">
        <v>0</v>
      </c>
      <c r="M109" s="12">
        <v>11</v>
      </c>
    </row>
    <row r="110" s="12" customFormat="1" spans="1:13">
      <c r="A110" s="12">
        <v>9155621</v>
      </c>
      <c r="B110" s="12" t="s">
        <v>13</v>
      </c>
      <c r="C110" s="12">
        <v>3788304883</v>
      </c>
      <c r="D110" s="12" t="s">
        <v>56</v>
      </c>
      <c r="E110" s="12" t="s">
        <v>127</v>
      </c>
      <c r="F110" s="12">
        <v>4</v>
      </c>
      <c r="H110" s="12">
        <v>2.49</v>
      </c>
      <c r="J110" s="12">
        <v>-1</v>
      </c>
      <c r="K110" s="12">
        <v>0</v>
      </c>
      <c r="L110" s="12">
        <v>0</v>
      </c>
      <c r="M110" s="12">
        <v>11</v>
      </c>
    </row>
    <row r="111" s="12" customFormat="1" spans="1:13">
      <c r="A111" s="12">
        <v>9155621</v>
      </c>
      <c r="B111" s="12" t="s">
        <v>13</v>
      </c>
      <c r="C111" s="12">
        <v>2552017684</v>
      </c>
      <c r="D111" s="12" t="s">
        <v>63</v>
      </c>
      <c r="E111" s="12" t="s">
        <v>128</v>
      </c>
      <c r="F111" s="12">
        <v>15</v>
      </c>
      <c r="G111" s="12">
        <f>VLOOKUP(E111,[1]导表!$E$1:$G$65536,3,0)</f>
        <v>14.8</v>
      </c>
      <c r="K111" s="12">
        <v>1</v>
      </c>
      <c r="L111" s="12">
        <v>0</v>
      </c>
      <c r="M111" s="12">
        <v>11</v>
      </c>
    </row>
    <row r="112" s="12" customFormat="1" spans="1:13">
      <c r="A112" s="12">
        <v>9155621</v>
      </c>
      <c r="B112" s="12" t="s">
        <v>13</v>
      </c>
      <c r="C112" s="12">
        <v>3356939335</v>
      </c>
      <c r="D112" s="12" t="s">
        <v>56</v>
      </c>
      <c r="E112" s="12" t="s">
        <v>129</v>
      </c>
      <c r="F112" s="12">
        <v>5</v>
      </c>
      <c r="H112" s="12">
        <v>2.5</v>
      </c>
      <c r="J112" s="12">
        <v>-1</v>
      </c>
      <c r="K112" s="12">
        <v>1.5</v>
      </c>
      <c r="L112" s="12">
        <v>0</v>
      </c>
      <c r="M112" s="12">
        <v>11</v>
      </c>
    </row>
    <row r="113" s="12" customFormat="1" spans="1:13">
      <c r="A113" s="12">
        <v>9155621</v>
      </c>
      <c r="B113" s="12" t="s">
        <v>13</v>
      </c>
      <c r="C113" s="12">
        <v>3160761310</v>
      </c>
      <c r="D113" s="12" t="s">
        <v>19</v>
      </c>
      <c r="E113" s="12" t="s">
        <v>130</v>
      </c>
      <c r="F113" s="12">
        <v>13.8</v>
      </c>
      <c r="G113" s="12">
        <v>17.8</v>
      </c>
      <c r="H113" s="12">
        <v>12.8</v>
      </c>
      <c r="J113" s="12">
        <v>-1</v>
      </c>
      <c r="K113" s="12">
        <v>1</v>
      </c>
      <c r="L113" s="12">
        <v>0</v>
      </c>
      <c r="M113" s="12">
        <v>11</v>
      </c>
    </row>
    <row r="114" s="12" customFormat="1" spans="1:13">
      <c r="A114" s="12">
        <v>9155621</v>
      </c>
      <c r="B114" s="12" t="s">
        <v>13</v>
      </c>
      <c r="C114" s="12">
        <v>3347380744</v>
      </c>
      <c r="D114" s="12" t="s">
        <v>110</v>
      </c>
      <c r="E114" s="12" t="s">
        <v>24</v>
      </c>
      <c r="F114" s="12">
        <v>29.6</v>
      </c>
      <c r="H114" s="12">
        <v>0.99</v>
      </c>
      <c r="J114" s="12">
        <v>1</v>
      </c>
      <c r="K114" s="12">
        <v>2</v>
      </c>
      <c r="L114" s="12">
        <v>0</v>
      </c>
      <c r="M114" s="12">
        <v>11</v>
      </c>
    </row>
    <row r="115" s="12" customFormat="1" spans="1:13">
      <c r="A115" s="12">
        <v>9155621</v>
      </c>
      <c r="B115" s="12" t="s">
        <v>13</v>
      </c>
      <c r="C115" s="12">
        <v>2551836326</v>
      </c>
      <c r="D115" s="12" t="s">
        <v>19</v>
      </c>
      <c r="E115" s="12" t="s">
        <v>131</v>
      </c>
      <c r="F115" s="12">
        <v>13.8</v>
      </c>
      <c r="G115" s="12">
        <v>15.8</v>
      </c>
      <c r="H115" s="12">
        <v>9.8</v>
      </c>
      <c r="J115" s="12">
        <v>-1</v>
      </c>
      <c r="K115" s="12">
        <v>1</v>
      </c>
      <c r="L115" s="12">
        <v>0</v>
      </c>
      <c r="M115" s="12">
        <v>11</v>
      </c>
    </row>
    <row r="116" s="12" customFormat="1" spans="1:13">
      <c r="A116" s="12">
        <v>9155621</v>
      </c>
      <c r="B116" s="12" t="s">
        <v>13</v>
      </c>
      <c r="C116" s="12">
        <v>3222140472</v>
      </c>
      <c r="D116" s="12" t="s">
        <v>19</v>
      </c>
      <c r="E116" s="12" t="s">
        <v>132</v>
      </c>
      <c r="F116" s="12">
        <v>13.8</v>
      </c>
      <c r="G116" s="12">
        <v>14.8</v>
      </c>
      <c r="H116" s="12">
        <v>8.8</v>
      </c>
      <c r="J116" s="12">
        <v>-1</v>
      </c>
      <c r="K116" s="12">
        <v>1</v>
      </c>
      <c r="L116" s="12">
        <v>0</v>
      </c>
      <c r="M116" s="12">
        <v>11</v>
      </c>
    </row>
    <row r="117" s="12" customFormat="1" spans="1:13">
      <c r="A117" s="12">
        <v>9155621</v>
      </c>
      <c r="B117" s="12" t="s">
        <v>13</v>
      </c>
      <c r="C117" s="12">
        <v>2552050572</v>
      </c>
      <c r="D117" s="12" t="s">
        <v>19</v>
      </c>
      <c r="E117" s="12" t="s">
        <v>133</v>
      </c>
      <c r="F117" s="12">
        <v>13.8</v>
      </c>
      <c r="G117" s="12">
        <v>16.8</v>
      </c>
      <c r="H117" s="12">
        <v>10.8</v>
      </c>
      <c r="J117" s="12">
        <v>-1</v>
      </c>
      <c r="K117" s="12">
        <v>1</v>
      </c>
      <c r="L117" s="12">
        <v>0</v>
      </c>
      <c r="M117" s="12">
        <v>11</v>
      </c>
    </row>
    <row r="118" s="12" customFormat="1" spans="1:13">
      <c r="A118" s="12">
        <v>9155621</v>
      </c>
      <c r="B118" s="12" t="s">
        <v>13</v>
      </c>
      <c r="C118" s="12">
        <v>3450889030</v>
      </c>
      <c r="D118" s="12" t="s">
        <v>19</v>
      </c>
      <c r="E118" s="12" t="s">
        <v>134</v>
      </c>
      <c r="F118" s="12">
        <v>12.8</v>
      </c>
      <c r="G118" s="12">
        <v>15.8</v>
      </c>
      <c r="H118" s="12">
        <v>7.8</v>
      </c>
      <c r="I118" s="12">
        <v>8.8</v>
      </c>
      <c r="J118" s="12">
        <v>-1</v>
      </c>
      <c r="K118" s="12">
        <v>1</v>
      </c>
      <c r="L118" s="12">
        <v>0</v>
      </c>
      <c r="M118" s="12">
        <v>11</v>
      </c>
    </row>
    <row r="119" s="12" customFormat="1" spans="1:13">
      <c r="A119" s="12">
        <v>9155621</v>
      </c>
      <c r="B119" s="12" t="s">
        <v>13</v>
      </c>
      <c r="C119" s="12">
        <v>2635360296</v>
      </c>
      <c r="D119" s="12" t="s">
        <v>61</v>
      </c>
      <c r="E119" s="12" t="s">
        <v>135</v>
      </c>
      <c r="F119" s="12">
        <v>17</v>
      </c>
      <c r="G119" s="12">
        <f>VLOOKUP(E119,[1]导表!$E$1:$G$65536,3,0)</f>
        <v>16.8</v>
      </c>
      <c r="K119" s="12">
        <v>1</v>
      </c>
      <c r="L119" s="12">
        <v>0</v>
      </c>
      <c r="M119" s="12">
        <v>11</v>
      </c>
    </row>
    <row r="120" s="12" customFormat="1" spans="1:13">
      <c r="A120" s="12">
        <v>9155621</v>
      </c>
      <c r="B120" s="12" t="s">
        <v>13</v>
      </c>
      <c r="C120" s="12">
        <v>2552088630</v>
      </c>
      <c r="D120" s="12" t="s">
        <v>136</v>
      </c>
      <c r="E120" s="12" t="s">
        <v>137</v>
      </c>
      <c r="F120" s="12">
        <v>15</v>
      </c>
      <c r="G120" s="12">
        <f>VLOOKUP(E120,[1]导表!$E$1:$G$65536,3,0)</f>
        <v>14.8</v>
      </c>
      <c r="K120" s="12">
        <v>1</v>
      </c>
      <c r="L120" s="12">
        <v>0</v>
      </c>
      <c r="M120" s="12">
        <v>10</v>
      </c>
    </row>
    <row r="121" s="12" customFormat="1" spans="1:13">
      <c r="A121" s="12">
        <v>9155621</v>
      </c>
      <c r="B121" s="12" t="s">
        <v>13</v>
      </c>
      <c r="C121" s="12">
        <v>2551871817</v>
      </c>
      <c r="D121" s="12" t="s">
        <v>136</v>
      </c>
      <c r="E121" s="12" t="s">
        <v>138</v>
      </c>
      <c r="F121" s="12">
        <v>16</v>
      </c>
      <c r="G121" s="12">
        <f>VLOOKUP(E121,[1]导表!$E$1:$G$65536,3,0)</f>
        <v>16.8</v>
      </c>
      <c r="K121" s="12">
        <v>1</v>
      </c>
      <c r="L121" s="12">
        <v>0</v>
      </c>
      <c r="M121" s="12">
        <v>10</v>
      </c>
    </row>
    <row r="122" s="12" customFormat="1" spans="1:13">
      <c r="A122" s="12">
        <v>9155621</v>
      </c>
      <c r="B122" s="12" t="s">
        <v>13</v>
      </c>
      <c r="C122" s="12">
        <v>3357691197</v>
      </c>
      <c r="D122" s="12" t="s">
        <v>56</v>
      </c>
      <c r="E122" s="12" t="s">
        <v>139</v>
      </c>
      <c r="F122" s="12">
        <v>4</v>
      </c>
      <c r="H122" s="12">
        <v>1.99</v>
      </c>
      <c r="J122" s="12">
        <v>-1</v>
      </c>
      <c r="K122" s="12">
        <v>1.4</v>
      </c>
      <c r="L122" s="12">
        <v>0</v>
      </c>
      <c r="M122" s="12">
        <v>10</v>
      </c>
    </row>
    <row r="123" s="12" customFormat="1" spans="1:13">
      <c r="A123" s="12">
        <v>9155621</v>
      </c>
      <c r="B123" s="12" t="s">
        <v>13</v>
      </c>
      <c r="C123" s="12">
        <v>2552050554</v>
      </c>
      <c r="D123" s="12" t="s">
        <v>50</v>
      </c>
      <c r="E123" s="12" t="s">
        <v>140</v>
      </c>
      <c r="F123" s="12">
        <v>18</v>
      </c>
      <c r="G123" s="12">
        <f>VLOOKUP(E123,[1]导表!$E$1:$G$65536,3,0)</f>
        <v>16.8</v>
      </c>
      <c r="K123" s="12">
        <v>1</v>
      </c>
      <c r="L123" s="12">
        <v>0</v>
      </c>
      <c r="M123" s="12">
        <v>10</v>
      </c>
    </row>
    <row r="124" s="12" customFormat="1" spans="1:13">
      <c r="A124" s="12">
        <v>9155621</v>
      </c>
      <c r="B124" s="12" t="s">
        <v>13</v>
      </c>
      <c r="C124" s="12">
        <v>2551871839</v>
      </c>
      <c r="D124" s="12" t="s">
        <v>19</v>
      </c>
      <c r="E124" s="12" t="s">
        <v>141</v>
      </c>
      <c r="F124" s="12">
        <v>6.9</v>
      </c>
      <c r="H124" s="12">
        <v>0.99</v>
      </c>
      <c r="J124" s="12">
        <v>1</v>
      </c>
      <c r="K124" s="12">
        <v>0.5</v>
      </c>
      <c r="L124" s="12">
        <v>0</v>
      </c>
      <c r="M124" s="12">
        <v>10</v>
      </c>
    </row>
    <row r="125" s="12" customFormat="1" spans="1:13">
      <c r="A125" s="12">
        <v>9155621</v>
      </c>
      <c r="B125" s="12" t="s">
        <v>13</v>
      </c>
      <c r="C125" s="12">
        <v>2552017713</v>
      </c>
      <c r="D125" s="12" t="s">
        <v>19</v>
      </c>
      <c r="E125" s="12" t="s">
        <v>142</v>
      </c>
      <c r="F125" s="12">
        <v>13.8</v>
      </c>
      <c r="G125" s="12">
        <v>15.8</v>
      </c>
      <c r="H125" s="12">
        <v>8.8</v>
      </c>
      <c r="J125" s="12">
        <v>-1</v>
      </c>
      <c r="K125" s="12">
        <v>1</v>
      </c>
      <c r="L125" s="12">
        <v>0</v>
      </c>
      <c r="M125" s="12">
        <v>10</v>
      </c>
    </row>
    <row r="126" s="12" customFormat="1" spans="1:13">
      <c r="A126" s="12">
        <v>9155621</v>
      </c>
      <c r="B126" s="12" t="s">
        <v>13</v>
      </c>
      <c r="C126" s="12">
        <v>2552050570</v>
      </c>
      <c r="D126" s="12" t="s">
        <v>19</v>
      </c>
      <c r="E126" s="12" t="s">
        <v>143</v>
      </c>
      <c r="F126" s="12">
        <v>13.8</v>
      </c>
      <c r="G126" s="12">
        <v>16.8</v>
      </c>
      <c r="H126" s="12">
        <v>9.9</v>
      </c>
      <c r="J126" s="12">
        <v>-1</v>
      </c>
      <c r="K126" s="12">
        <v>1</v>
      </c>
      <c r="L126" s="12">
        <v>0</v>
      </c>
      <c r="M126" s="12">
        <v>10</v>
      </c>
    </row>
    <row r="127" s="12" customFormat="1" spans="1:13">
      <c r="A127" s="12">
        <v>9155621</v>
      </c>
      <c r="B127" s="12" t="s">
        <v>13</v>
      </c>
      <c r="C127" s="12">
        <v>3223903936</v>
      </c>
      <c r="D127" s="12" t="s">
        <v>19</v>
      </c>
      <c r="E127" s="12" t="s">
        <v>144</v>
      </c>
      <c r="F127" s="12">
        <v>13.8</v>
      </c>
      <c r="G127" s="12">
        <v>15.8</v>
      </c>
      <c r="H127" s="12">
        <v>11.8</v>
      </c>
      <c r="J127" s="12">
        <v>-1</v>
      </c>
      <c r="K127" s="12">
        <v>1</v>
      </c>
      <c r="L127" s="12">
        <v>0</v>
      </c>
      <c r="M127" s="12">
        <v>10</v>
      </c>
    </row>
    <row r="128" s="12" customFormat="1" spans="1:13">
      <c r="A128" s="12">
        <v>9155621</v>
      </c>
      <c r="B128" s="12" t="s">
        <v>13</v>
      </c>
      <c r="C128" s="12">
        <v>2551871731</v>
      </c>
      <c r="D128" s="12" t="s">
        <v>26</v>
      </c>
      <c r="E128" s="12" t="s">
        <v>145</v>
      </c>
      <c r="F128" s="12">
        <v>13</v>
      </c>
      <c r="G128" s="12">
        <f>VLOOKUP(E128,[1]导表!$E$1:$G$65536,3,0)</f>
        <v>15.8</v>
      </c>
      <c r="K128" s="12">
        <v>1</v>
      </c>
      <c r="L128" s="12">
        <v>0</v>
      </c>
      <c r="M128" s="12">
        <v>9</v>
      </c>
    </row>
    <row r="129" s="12" customFormat="1" spans="1:13">
      <c r="A129" s="12">
        <v>9155621</v>
      </c>
      <c r="B129" s="12" t="s">
        <v>13</v>
      </c>
      <c r="C129" s="12">
        <v>2551943770</v>
      </c>
      <c r="D129" s="12" t="s">
        <v>136</v>
      </c>
      <c r="E129" s="12" t="s">
        <v>146</v>
      </c>
      <c r="F129" s="12">
        <v>14</v>
      </c>
      <c r="G129" s="12">
        <f>VLOOKUP(E129,[1]导表!$E$1:$G$65536,3,0)</f>
        <v>14.8</v>
      </c>
      <c r="K129" s="12">
        <v>1</v>
      </c>
      <c r="L129" s="12">
        <v>0</v>
      </c>
      <c r="M129" s="12">
        <v>9</v>
      </c>
    </row>
    <row r="130" s="12" customFormat="1" spans="1:13">
      <c r="A130" s="12">
        <v>9155621</v>
      </c>
      <c r="B130" s="12" t="s">
        <v>13</v>
      </c>
      <c r="C130" s="12">
        <v>2552017699</v>
      </c>
      <c r="D130" s="12" t="s">
        <v>136</v>
      </c>
      <c r="E130" s="12" t="s">
        <v>147</v>
      </c>
      <c r="F130" s="12">
        <v>15</v>
      </c>
      <c r="G130" s="12">
        <f>VLOOKUP(E130,[1]导表!$E$1:$G$65536,3,0)</f>
        <v>15.8</v>
      </c>
      <c r="K130" s="12">
        <v>1</v>
      </c>
      <c r="L130" s="12">
        <v>0</v>
      </c>
      <c r="M130" s="12">
        <v>9</v>
      </c>
    </row>
    <row r="131" s="12" customFormat="1" spans="1:13">
      <c r="A131" s="12">
        <v>9155621</v>
      </c>
      <c r="B131" s="12" t="s">
        <v>13</v>
      </c>
      <c r="C131" s="12">
        <v>2552088503</v>
      </c>
      <c r="D131" s="12" t="s">
        <v>26</v>
      </c>
      <c r="E131" s="12" t="s">
        <v>148</v>
      </c>
      <c r="F131" s="12">
        <v>12</v>
      </c>
      <c r="G131" s="12">
        <f>VLOOKUP(E131,[1]导表!$E$1:$G$65536,3,0)</f>
        <v>15.8</v>
      </c>
      <c r="K131" s="12">
        <v>1</v>
      </c>
      <c r="L131" s="12">
        <v>0</v>
      </c>
      <c r="M131" s="12">
        <v>9</v>
      </c>
    </row>
    <row r="132" s="12" customFormat="1" spans="1:13">
      <c r="A132" s="12">
        <v>9155621</v>
      </c>
      <c r="B132" s="12" t="s">
        <v>13</v>
      </c>
      <c r="C132" s="12">
        <v>3788404562</v>
      </c>
      <c r="D132" s="12" t="s">
        <v>56</v>
      </c>
      <c r="E132" s="12" t="s">
        <v>149</v>
      </c>
      <c r="F132" s="12">
        <v>5</v>
      </c>
      <c r="H132" s="12">
        <v>2.99</v>
      </c>
      <c r="J132" s="12">
        <v>-1</v>
      </c>
      <c r="K132" s="12">
        <v>0</v>
      </c>
      <c r="L132" s="12">
        <v>0</v>
      </c>
      <c r="M132" s="12">
        <v>9</v>
      </c>
    </row>
    <row r="133" s="12" customFormat="1" spans="1:13">
      <c r="A133" s="12">
        <v>9155621</v>
      </c>
      <c r="B133" s="12" t="s">
        <v>13</v>
      </c>
      <c r="C133" s="12">
        <v>2551943766</v>
      </c>
      <c r="D133" s="12" t="s">
        <v>50</v>
      </c>
      <c r="E133" s="12" t="s">
        <v>150</v>
      </c>
      <c r="F133" s="12">
        <v>16</v>
      </c>
      <c r="G133" s="12">
        <f>VLOOKUP(E133,[1]导表!$E$1:$G$65536,3,0)</f>
        <v>16.8</v>
      </c>
      <c r="K133" s="12">
        <v>1</v>
      </c>
      <c r="L133" s="12">
        <v>0</v>
      </c>
      <c r="M133" s="12">
        <v>9</v>
      </c>
    </row>
    <row r="134" s="12" customFormat="1" spans="1:13">
      <c r="A134" s="12">
        <v>9155621</v>
      </c>
      <c r="B134" s="12" t="s">
        <v>13</v>
      </c>
      <c r="C134" s="12">
        <v>3356869362</v>
      </c>
      <c r="D134" s="12" t="s">
        <v>19</v>
      </c>
      <c r="E134" s="12" t="s">
        <v>151</v>
      </c>
      <c r="F134" s="12">
        <v>13.8</v>
      </c>
      <c r="G134" s="12">
        <v>15.8</v>
      </c>
      <c r="H134" s="12">
        <v>9.9</v>
      </c>
      <c r="J134" s="12">
        <v>-1</v>
      </c>
      <c r="K134" s="12">
        <v>1</v>
      </c>
      <c r="L134" s="12">
        <v>0</v>
      </c>
      <c r="M134" s="12">
        <v>9</v>
      </c>
    </row>
    <row r="135" s="12" customFormat="1" spans="1:13">
      <c r="A135" s="12">
        <v>9155621</v>
      </c>
      <c r="B135" s="12" t="s">
        <v>13</v>
      </c>
      <c r="C135" s="12">
        <v>3091541902</v>
      </c>
      <c r="D135" s="12" t="s">
        <v>19</v>
      </c>
      <c r="E135" s="12" t="s">
        <v>152</v>
      </c>
      <c r="F135" s="12">
        <v>13.8</v>
      </c>
      <c r="G135" s="12">
        <v>15.8</v>
      </c>
      <c r="H135" s="12">
        <v>8.8</v>
      </c>
      <c r="J135" s="12">
        <v>-1</v>
      </c>
      <c r="K135" s="12">
        <v>1</v>
      </c>
      <c r="L135" s="12">
        <v>0</v>
      </c>
      <c r="M135" s="12">
        <v>9</v>
      </c>
    </row>
    <row r="136" s="12" customFormat="1" spans="1:13">
      <c r="A136" s="12">
        <v>9155621</v>
      </c>
      <c r="B136" s="12" t="s">
        <v>13</v>
      </c>
      <c r="C136" s="12">
        <v>2552050564</v>
      </c>
      <c r="D136" s="12" t="s">
        <v>153</v>
      </c>
      <c r="E136" s="12" t="s">
        <v>154</v>
      </c>
      <c r="F136" s="12">
        <v>24</v>
      </c>
      <c r="G136" s="12">
        <f>VLOOKUP(E136,[1]导表!$E$1:$G$65536,3,0)</f>
        <v>0</v>
      </c>
      <c r="K136" s="12">
        <v>2</v>
      </c>
      <c r="L136" s="12">
        <v>0</v>
      </c>
      <c r="M136" s="12">
        <v>8</v>
      </c>
    </row>
    <row r="137" s="12" customFormat="1" spans="1:13">
      <c r="A137" s="12">
        <v>9155621</v>
      </c>
      <c r="B137" s="12" t="s">
        <v>13</v>
      </c>
      <c r="C137" s="12">
        <v>2551943624</v>
      </c>
      <c r="D137" s="12" t="s">
        <v>26</v>
      </c>
      <c r="E137" s="12" t="s">
        <v>155</v>
      </c>
      <c r="F137" s="12">
        <v>12</v>
      </c>
      <c r="G137" s="12">
        <f>VLOOKUP(E137,[1]导表!$E$1:$G$65536,3,0)</f>
        <v>14.8</v>
      </c>
      <c r="K137" s="12">
        <v>1</v>
      </c>
      <c r="L137" s="12">
        <v>0</v>
      </c>
      <c r="M137" s="12">
        <v>8</v>
      </c>
    </row>
    <row r="138" s="12" customFormat="1" spans="1:13">
      <c r="A138" s="12">
        <v>9155621</v>
      </c>
      <c r="B138" s="12" t="s">
        <v>13</v>
      </c>
      <c r="C138" s="12">
        <v>2552088485</v>
      </c>
      <c r="D138" s="12" t="s">
        <v>26</v>
      </c>
      <c r="E138" s="12" t="s">
        <v>156</v>
      </c>
      <c r="F138" s="12">
        <v>13</v>
      </c>
      <c r="G138" s="12">
        <f>VLOOKUP(E138,[1]导表!$E$1:$G$65536,3,0)</f>
        <v>15.8</v>
      </c>
      <c r="K138" s="12">
        <v>1</v>
      </c>
      <c r="L138" s="12">
        <v>0</v>
      </c>
      <c r="M138" s="12">
        <v>8</v>
      </c>
    </row>
    <row r="139" s="12" customFormat="1" spans="1:13">
      <c r="A139" s="12">
        <v>9155621</v>
      </c>
      <c r="B139" s="12" t="s">
        <v>13</v>
      </c>
      <c r="C139" s="12">
        <v>2552050523</v>
      </c>
      <c r="D139" s="12" t="s">
        <v>19</v>
      </c>
      <c r="E139" s="12" t="s">
        <v>157</v>
      </c>
      <c r="F139" s="12">
        <v>13.8</v>
      </c>
      <c r="G139" s="12">
        <v>15.8</v>
      </c>
      <c r="H139" s="12">
        <v>8.8</v>
      </c>
      <c r="J139" s="12">
        <v>-1</v>
      </c>
      <c r="K139" s="12">
        <v>1</v>
      </c>
      <c r="L139" s="12">
        <v>0</v>
      </c>
      <c r="M139" s="12">
        <v>8</v>
      </c>
    </row>
    <row r="140" s="12" customFormat="1" spans="1:13">
      <c r="A140" s="12">
        <v>9155621</v>
      </c>
      <c r="B140" s="12" t="s">
        <v>13</v>
      </c>
      <c r="C140" s="12">
        <v>2552017690</v>
      </c>
      <c r="D140" s="12" t="s">
        <v>116</v>
      </c>
      <c r="E140" s="12" t="s">
        <v>158</v>
      </c>
      <c r="F140" s="12">
        <v>16</v>
      </c>
      <c r="G140" s="12">
        <f>VLOOKUP(E140,[1]导表!$E$1:$G$65536,3,0)</f>
        <v>17.8</v>
      </c>
      <c r="K140" s="12">
        <v>1</v>
      </c>
      <c r="L140" s="12">
        <v>0</v>
      </c>
      <c r="M140" s="12">
        <v>7</v>
      </c>
    </row>
    <row r="141" s="12" customFormat="1" spans="1:13">
      <c r="A141" s="12">
        <v>9155621</v>
      </c>
      <c r="B141" s="12" t="s">
        <v>13</v>
      </c>
      <c r="C141" s="12">
        <v>3895739148</v>
      </c>
      <c r="D141" s="12" t="s">
        <v>125</v>
      </c>
      <c r="E141" s="12" t="s">
        <v>159</v>
      </c>
      <c r="F141" s="12">
        <v>12.8</v>
      </c>
      <c r="G141" s="12">
        <v>15.8</v>
      </c>
      <c r="H141" s="12">
        <v>9.9</v>
      </c>
      <c r="J141" s="12">
        <v>-1</v>
      </c>
      <c r="K141" s="12">
        <v>1</v>
      </c>
      <c r="L141" s="12">
        <v>0</v>
      </c>
      <c r="M141" s="12">
        <v>7</v>
      </c>
    </row>
    <row r="142" s="12" customFormat="1" spans="1:13">
      <c r="A142" s="12">
        <v>9155621</v>
      </c>
      <c r="B142" s="12" t="s">
        <v>13</v>
      </c>
      <c r="C142" s="12">
        <v>3895551385</v>
      </c>
      <c r="D142" s="12" t="s">
        <v>125</v>
      </c>
      <c r="E142" s="12" t="s">
        <v>160</v>
      </c>
      <c r="F142" s="12">
        <v>12.8</v>
      </c>
      <c r="G142" s="12">
        <v>15.8</v>
      </c>
      <c r="H142" s="12">
        <v>10.9</v>
      </c>
      <c r="J142" s="12">
        <v>-1</v>
      </c>
      <c r="K142" s="12">
        <v>1</v>
      </c>
      <c r="L142" s="12">
        <v>0</v>
      </c>
      <c r="M142" s="12">
        <v>7</v>
      </c>
    </row>
    <row r="143" s="12" customFormat="1" spans="1:13">
      <c r="A143" s="12">
        <v>9155621</v>
      </c>
      <c r="B143" s="12" t="s">
        <v>13</v>
      </c>
      <c r="C143" s="12">
        <v>2551911479</v>
      </c>
      <c r="D143" s="12" t="s">
        <v>136</v>
      </c>
      <c r="E143" s="12" t="s">
        <v>161</v>
      </c>
      <c r="F143" s="12">
        <v>16</v>
      </c>
      <c r="G143" s="12">
        <f>VLOOKUP(E143,[1]导表!$E$1:$G$65536,3,0)</f>
        <v>16.8</v>
      </c>
      <c r="K143" s="12">
        <v>1</v>
      </c>
      <c r="L143" s="12">
        <v>0</v>
      </c>
      <c r="M143" s="12">
        <v>7</v>
      </c>
    </row>
    <row r="144" s="12" customFormat="1" spans="1:13">
      <c r="A144" s="12">
        <v>9155621</v>
      </c>
      <c r="B144" s="12" t="s">
        <v>13</v>
      </c>
      <c r="C144" s="12">
        <v>2551943769</v>
      </c>
      <c r="D144" s="12" t="s">
        <v>136</v>
      </c>
      <c r="E144" s="12" t="s">
        <v>162</v>
      </c>
      <c r="F144" s="12">
        <v>16</v>
      </c>
      <c r="G144" s="12">
        <f>VLOOKUP(E144,[1]导表!$E$1:$G$65536,3,0)</f>
        <v>16.8</v>
      </c>
      <c r="K144" s="12">
        <v>1</v>
      </c>
      <c r="L144" s="12">
        <v>0</v>
      </c>
      <c r="M144" s="12">
        <v>7</v>
      </c>
    </row>
    <row r="145" s="12" customFormat="1" spans="1:13">
      <c r="A145" s="12">
        <v>9155621</v>
      </c>
      <c r="B145" s="12" t="s">
        <v>13</v>
      </c>
      <c r="C145" s="12">
        <v>2552088625</v>
      </c>
      <c r="D145" s="12" t="s">
        <v>50</v>
      </c>
      <c r="E145" s="12" t="s">
        <v>163</v>
      </c>
      <c r="F145" s="12">
        <v>17</v>
      </c>
      <c r="G145" s="12">
        <f>VLOOKUP(E145,[1]导表!$E$1:$G$65536,3,0)</f>
        <v>17.8</v>
      </c>
      <c r="K145" s="12">
        <v>1</v>
      </c>
      <c r="L145" s="12">
        <v>0</v>
      </c>
      <c r="M145" s="12">
        <v>7</v>
      </c>
    </row>
    <row r="146" s="12" customFormat="1" spans="1:13">
      <c r="A146" s="12">
        <v>9155621</v>
      </c>
      <c r="B146" s="12" t="s">
        <v>13</v>
      </c>
      <c r="C146" s="12">
        <v>2552050488</v>
      </c>
      <c r="D146" s="12" t="s">
        <v>26</v>
      </c>
      <c r="E146" s="12" t="s">
        <v>164</v>
      </c>
      <c r="F146" s="12">
        <v>13</v>
      </c>
      <c r="G146" s="12">
        <f>VLOOKUP(E146,[1]导表!$E$1:$G$65536,3,0)</f>
        <v>15.8</v>
      </c>
      <c r="K146" s="12">
        <v>1</v>
      </c>
      <c r="L146" s="12">
        <v>0</v>
      </c>
      <c r="M146" s="12">
        <v>7</v>
      </c>
    </row>
    <row r="147" s="12" customFormat="1" spans="1:13">
      <c r="A147" s="12">
        <v>9155621</v>
      </c>
      <c r="B147" s="12" t="s">
        <v>13</v>
      </c>
      <c r="C147" s="12">
        <v>2551911472</v>
      </c>
      <c r="D147" s="12" t="s">
        <v>63</v>
      </c>
      <c r="E147" s="12" t="s">
        <v>165</v>
      </c>
      <c r="F147" s="12">
        <v>16</v>
      </c>
      <c r="G147" s="12">
        <f>VLOOKUP(E147,[1]导表!$E$1:$G$65536,3,0)</f>
        <v>15.8</v>
      </c>
      <c r="K147" s="12">
        <v>1</v>
      </c>
      <c r="L147" s="12">
        <v>0</v>
      </c>
      <c r="M147" s="12">
        <v>7</v>
      </c>
    </row>
    <row r="148" s="12" customFormat="1" spans="1:13">
      <c r="A148" s="12">
        <v>9155621</v>
      </c>
      <c r="B148" s="12" t="s">
        <v>13</v>
      </c>
      <c r="C148" s="12">
        <v>3347380747</v>
      </c>
      <c r="D148" s="12" t="s">
        <v>110</v>
      </c>
      <c r="E148" s="12" t="s">
        <v>166</v>
      </c>
      <c r="F148" s="12">
        <v>29.6</v>
      </c>
      <c r="H148" s="12">
        <v>14.8</v>
      </c>
      <c r="J148" s="12">
        <v>-1</v>
      </c>
      <c r="K148" s="12">
        <v>2</v>
      </c>
      <c r="L148" s="12">
        <v>0</v>
      </c>
      <c r="M148" s="12">
        <v>7</v>
      </c>
    </row>
    <row r="149" s="12" customFormat="1" spans="1:13">
      <c r="A149" s="12">
        <v>9155621</v>
      </c>
      <c r="B149" s="12" t="s">
        <v>13</v>
      </c>
      <c r="C149" s="12">
        <v>3091349603</v>
      </c>
      <c r="D149" s="12" t="s">
        <v>19</v>
      </c>
      <c r="E149" s="12" t="s">
        <v>167</v>
      </c>
      <c r="F149" s="12">
        <v>13.8</v>
      </c>
      <c r="G149" s="12">
        <v>15.8</v>
      </c>
      <c r="H149" s="12">
        <v>8.8</v>
      </c>
      <c r="J149" s="12">
        <v>-1</v>
      </c>
      <c r="K149" s="12">
        <v>1</v>
      </c>
      <c r="L149" s="12">
        <v>0</v>
      </c>
      <c r="M149" s="12">
        <v>7</v>
      </c>
    </row>
    <row r="150" s="12" customFormat="1" spans="1:13">
      <c r="A150" s="12">
        <v>9155621</v>
      </c>
      <c r="B150" s="12" t="s">
        <v>13</v>
      </c>
      <c r="C150" s="12">
        <v>3821659553</v>
      </c>
      <c r="D150" s="12" t="s">
        <v>168</v>
      </c>
      <c r="E150" s="12" t="s">
        <v>33</v>
      </c>
      <c r="F150" s="12">
        <v>35</v>
      </c>
      <c r="H150" s="12">
        <v>8.8</v>
      </c>
      <c r="J150" s="12">
        <v>-1</v>
      </c>
      <c r="K150" s="12">
        <v>2.5</v>
      </c>
      <c r="L150" s="12">
        <v>0</v>
      </c>
      <c r="M150" s="12">
        <v>6</v>
      </c>
    </row>
    <row r="151" s="12" customFormat="1" spans="1:13">
      <c r="A151" s="12">
        <v>9155621</v>
      </c>
      <c r="B151" s="12" t="s">
        <v>13</v>
      </c>
      <c r="C151" s="12">
        <v>2551836304</v>
      </c>
      <c r="D151" s="12" t="s">
        <v>116</v>
      </c>
      <c r="E151" s="12" t="s">
        <v>169</v>
      </c>
      <c r="F151" s="12">
        <v>18</v>
      </c>
      <c r="G151" s="12">
        <f>VLOOKUP(E151,[1]导表!$E$1:$G$65536,3,0)</f>
        <v>17.8</v>
      </c>
      <c r="K151" s="12">
        <v>1</v>
      </c>
      <c r="L151" s="12">
        <v>0</v>
      </c>
      <c r="M151" s="12">
        <v>6</v>
      </c>
    </row>
    <row r="152" s="12" customFormat="1" spans="1:13">
      <c r="A152" s="12">
        <v>9155621</v>
      </c>
      <c r="B152" s="12" t="s">
        <v>13</v>
      </c>
      <c r="C152" s="12">
        <v>2552088639</v>
      </c>
      <c r="D152" s="12" t="s">
        <v>153</v>
      </c>
      <c r="E152" s="12" t="s">
        <v>170</v>
      </c>
      <c r="F152" s="12">
        <v>24</v>
      </c>
      <c r="G152" s="12">
        <f>VLOOKUP(E152,[1]导表!$E$1:$G$65536,3,0)</f>
        <v>0</v>
      </c>
      <c r="K152" s="12">
        <v>2</v>
      </c>
      <c r="L152" s="12">
        <v>0</v>
      </c>
      <c r="M152" s="12">
        <v>6</v>
      </c>
    </row>
    <row r="153" s="12" customFormat="1" spans="1:13">
      <c r="A153" s="12">
        <v>9155621</v>
      </c>
      <c r="B153" s="12" t="s">
        <v>13</v>
      </c>
      <c r="C153" s="12">
        <v>3895517284</v>
      </c>
      <c r="D153" s="12" t="s">
        <v>125</v>
      </c>
      <c r="E153" s="12" t="s">
        <v>171</v>
      </c>
      <c r="F153" s="12">
        <v>12.8</v>
      </c>
      <c r="G153" s="12">
        <v>15.8</v>
      </c>
      <c r="H153" s="12">
        <v>9.9</v>
      </c>
      <c r="J153" s="12">
        <v>-1</v>
      </c>
      <c r="K153" s="12">
        <v>1</v>
      </c>
      <c r="L153" s="12">
        <v>0</v>
      </c>
      <c r="M153" s="12">
        <v>6</v>
      </c>
    </row>
    <row r="154" s="12" customFormat="1" spans="1:13">
      <c r="A154" s="12">
        <v>9155621</v>
      </c>
      <c r="B154" s="12" t="s">
        <v>13</v>
      </c>
      <c r="C154" s="12">
        <v>2552017600</v>
      </c>
      <c r="D154" s="12" t="s">
        <v>26</v>
      </c>
      <c r="E154" s="12" t="s">
        <v>172</v>
      </c>
      <c r="F154" s="12">
        <v>13</v>
      </c>
      <c r="G154" s="12">
        <f>VLOOKUP(E154,[1]导表!$E$1:$G$65536,3,0)</f>
        <v>15.8</v>
      </c>
      <c r="K154" s="12">
        <v>1</v>
      </c>
      <c r="L154" s="12">
        <v>0</v>
      </c>
      <c r="M154" s="12">
        <v>6</v>
      </c>
    </row>
    <row r="155" s="12" customFormat="1" spans="1:13">
      <c r="A155" s="12">
        <v>9155621</v>
      </c>
      <c r="B155" s="12" t="s">
        <v>13</v>
      </c>
      <c r="C155" s="12">
        <v>2551943765</v>
      </c>
      <c r="D155" s="12" t="s">
        <v>50</v>
      </c>
      <c r="E155" s="12" t="s">
        <v>173</v>
      </c>
      <c r="F155" s="12">
        <v>17</v>
      </c>
      <c r="G155" s="12">
        <f>VLOOKUP(E155,[1]导表!$E$1:$G$65536,3,0)</f>
        <v>17.8</v>
      </c>
      <c r="K155" s="12">
        <v>1</v>
      </c>
      <c r="L155" s="12">
        <v>0</v>
      </c>
      <c r="M155" s="12">
        <v>6</v>
      </c>
    </row>
    <row r="156" s="12" customFormat="1" spans="1:13">
      <c r="A156" s="12">
        <v>9155621</v>
      </c>
      <c r="B156" s="12" t="s">
        <v>13</v>
      </c>
      <c r="C156" s="12">
        <v>2551943760</v>
      </c>
      <c r="D156" s="12" t="s">
        <v>116</v>
      </c>
      <c r="E156" s="12" t="s">
        <v>174</v>
      </c>
      <c r="F156" s="12">
        <v>18</v>
      </c>
      <c r="G156" s="12">
        <f>VLOOKUP(E156,[1]导表!$E$1:$G$65536,3,0)</f>
        <v>16.8</v>
      </c>
      <c r="K156" s="12">
        <v>1</v>
      </c>
      <c r="L156" s="12">
        <v>0</v>
      </c>
      <c r="M156" s="12">
        <v>5</v>
      </c>
    </row>
    <row r="157" s="12" customFormat="1" spans="1:13">
      <c r="A157" s="12">
        <v>9155621</v>
      </c>
      <c r="B157" s="12" t="s">
        <v>13</v>
      </c>
      <c r="C157" s="12">
        <v>2552088640</v>
      </c>
      <c r="D157" s="12" t="s">
        <v>153</v>
      </c>
      <c r="E157" s="12" t="s">
        <v>175</v>
      </c>
      <c r="F157" s="12">
        <v>32</v>
      </c>
      <c r="G157" s="12">
        <f>VLOOKUP(E157,[1]导表!$E$1:$G$65536,3,0)</f>
        <v>0</v>
      </c>
      <c r="K157" s="12">
        <v>2</v>
      </c>
      <c r="L157" s="12">
        <v>0</v>
      </c>
      <c r="M157" s="12">
        <v>5</v>
      </c>
    </row>
    <row r="158" s="12" customFormat="1" spans="1:13">
      <c r="A158" s="12">
        <v>9155621</v>
      </c>
      <c r="B158" s="12" t="s">
        <v>13</v>
      </c>
      <c r="C158" s="12">
        <v>3895694612</v>
      </c>
      <c r="D158" s="12" t="s">
        <v>125</v>
      </c>
      <c r="E158" s="12" t="s">
        <v>176</v>
      </c>
      <c r="F158" s="12">
        <v>12.8</v>
      </c>
      <c r="G158" s="12">
        <v>15.8</v>
      </c>
      <c r="H158" s="12">
        <v>10.9</v>
      </c>
      <c r="J158" s="12">
        <v>-1</v>
      </c>
      <c r="K158" s="12">
        <v>1</v>
      </c>
      <c r="L158" s="12">
        <v>0</v>
      </c>
      <c r="M158" s="12">
        <v>5</v>
      </c>
    </row>
    <row r="159" s="12" customFormat="1" spans="1:13">
      <c r="A159" s="12">
        <v>9155621</v>
      </c>
      <c r="B159" s="12" t="s">
        <v>13</v>
      </c>
      <c r="C159" s="12">
        <v>2552017695</v>
      </c>
      <c r="D159" s="12" t="s">
        <v>136</v>
      </c>
      <c r="E159" s="12" t="s">
        <v>177</v>
      </c>
      <c r="F159" s="12">
        <v>16</v>
      </c>
      <c r="G159" s="12">
        <f>VLOOKUP(E159,[1]导表!$E$1:$G$65536,3,0)</f>
        <v>14.8</v>
      </c>
      <c r="K159" s="12">
        <v>1</v>
      </c>
      <c r="L159" s="12">
        <v>0</v>
      </c>
      <c r="M159" s="12">
        <v>5</v>
      </c>
    </row>
    <row r="160" s="12" customFormat="1" spans="1:13">
      <c r="A160" s="12">
        <v>9155621</v>
      </c>
      <c r="B160" s="12" t="s">
        <v>13</v>
      </c>
      <c r="C160" s="12">
        <v>2552088626</v>
      </c>
      <c r="D160" s="12" t="s">
        <v>50</v>
      </c>
      <c r="E160" s="12" t="s">
        <v>178</v>
      </c>
      <c r="F160" s="12">
        <v>16</v>
      </c>
      <c r="G160" s="12">
        <f>VLOOKUP(E160,[1]导表!$E$1:$G$65536,3,0)</f>
        <v>15.8</v>
      </c>
      <c r="K160" s="12">
        <v>1</v>
      </c>
      <c r="L160" s="12">
        <v>0</v>
      </c>
      <c r="M160" s="12">
        <v>4</v>
      </c>
    </row>
    <row r="161" s="12" customFormat="1" spans="1:13">
      <c r="A161" s="12">
        <v>9155621</v>
      </c>
      <c r="B161" s="12" t="s">
        <v>13</v>
      </c>
      <c r="C161" s="12">
        <v>3091541893</v>
      </c>
      <c r="D161" s="12" t="s">
        <v>19</v>
      </c>
      <c r="E161" s="12" t="s">
        <v>179</v>
      </c>
      <c r="F161" s="12">
        <v>13.8</v>
      </c>
      <c r="G161" s="12">
        <v>15.8</v>
      </c>
      <c r="H161" s="12">
        <v>8.8</v>
      </c>
      <c r="J161" s="12">
        <v>-1</v>
      </c>
      <c r="K161" s="12">
        <v>1</v>
      </c>
      <c r="L161" s="12">
        <v>0</v>
      </c>
      <c r="M161" s="12">
        <v>4</v>
      </c>
    </row>
    <row r="162" s="12" customFormat="1" spans="1:13">
      <c r="A162" s="12">
        <v>9155621</v>
      </c>
      <c r="B162" s="12" t="s">
        <v>13</v>
      </c>
      <c r="C162" s="12">
        <v>2551976198</v>
      </c>
      <c r="D162" s="12" t="s">
        <v>19</v>
      </c>
      <c r="E162" s="12" t="s">
        <v>180</v>
      </c>
      <c r="F162" s="12">
        <v>13.8</v>
      </c>
      <c r="G162" s="12">
        <v>15.8</v>
      </c>
      <c r="H162" s="12">
        <v>8.8</v>
      </c>
      <c r="I162" s="12">
        <v>9.9</v>
      </c>
      <c r="J162" s="12">
        <v>-1</v>
      </c>
      <c r="K162" s="12">
        <v>1</v>
      </c>
      <c r="L162" s="12">
        <v>0</v>
      </c>
      <c r="M162" s="12">
        <v>4</v>
      </c>
    </row>
    <row r="163" s="12" customFormat="1" spans="1:13">
      <c r="A163" s="12">
        <v>9155621</v>
      </c>
      <c r="B163" s="12" t="s">
        <v>13</v>
      </c>
      <c r="C163" s="12">
        <v>2635360301</v>
      </c>
      <c r="D163" s="12" t="s">
        <v>61</v>
      </c>
      <c r="E163" s="12" t="s">
        <v>181</v>
      </c>
      <c r="F163" s="12">
        <v>17</v>
      </c>
      <c r="G163" s="12">
        <f>VLOOKUP(E163,[1]导表!$E$1:$G$65536,3,0)</f>
        <v>16.8</v>
      </c>
      <c r="K163" s="12">
        <v>1</v>
      </c>
      <c r="L163" s="12">
        <v>0</v>
      </c>
      <c r="M163" s="12">
        <v>4</v>
      </c>
    </row>
    <row r="164" s="12" customFormat="1" spans="1:13">
      <c r="A164" s="12">
        <v>9155621</v>
      </c>
      <c r="B164" s="12" t="s">
        <v>13</v>
      </c>
      <c r="C164" s="12">
        <v>3821477674</v>
      </c>
      <c r="D164" s="12" t="s">
        <v>168</v>
      </c>
      <c r="E164" s="12" t="s">
        <v>182</v>
      </c>
      <c r="F164" s="12">
        <v>35</v>
      </c>
      <c r="K164" s="12">
        <v>2</v>
      </c>
      <c r="L164" s="12">
        <v>0</v>
      </c>
      <c r="M164" s="12">
        <v>3</v>
      </c>
    </row>
    <row r="165" s="12" customFormat="1" spans="1:13">
      <c r="A165" s="12">
        <v>9155621</v>
      </c>
      <c r="B165" s="12" t="s">
        <v>13</v>
      </c>
      <c r="C165" s="12">
        <v>2552088618</v>
      </c>
      <c r="D165" s="12" t="s">
        <v>116</v>
      </c>
      <c r="E165" s="12" t="s">
        <v>183</v>
      </c>
      <c r="F165" s="12">
        <v>16</v>
      </c>
      <c r="G165" s="12">
        <f>VLOOKUP(E165,[1]导表!$E$1:$G$65536,3,0)</f>
        <v>17.8</v>
      </c>
      <c r="K165" s="12">
        <v>1</v>
      </c>
      <c r="L165" s="12">
        <v>0</v>
      </c>
      <c r="M165" s="12">
        <v>3</v>
      </c>
    </row>
    <row r="166" s="12" customFormat="1" spans="1:13">
      <c r="A166" s="12">
        <v>9155621</v>
      </c>
      <c r="B166" s="12" t="s">
        <v>13</v>
      </c>
      <c r="C166" s="12">
        <v>2552017703</v>
      </c>
      <c r="D166" s="12" t="s">
        <v>153</v>
      </c>
      <c r="E166" s="12" t="s">
        <v>184</v>
      </c>
      <c r="F166" s="12">
        <v>32</v>
      </c>
      <c r="G166" s="12">
        <f>VLOOKUP(E166,[1]导表!$E$1:$G$65536,3,0)</f>
        <v>0</v>
      </c>
      <c r="K166" s="12">
        <v>2</v>
      </c>
      <c r="L166" s="12">
        <v>0</v>
      </c>
      <c r="M166" s="12">
        <v>3</v>
      </c>
    </row>
    <row r="167" s="12" customFormat="1" spans="1:13">
      <c r="A167" s="12">
        <v>9155621</v>
      </c>
      <c r="B167" s="12" t="s">
        <v>13</v>
      </c>
      <c r="C167" s="12">
        <v>2552017705</v>
      </c>
      <c r="D167" s="12" t="s">
        <v>153</v>
      </c>
      <c r="E167" s="12" t="s">
        <v>185</v>
      </c>
      <c r="F167" s="12">
        <v>28</v>
      </c>
      <c r="G167" s="12">
        <f>VLOOKUP(E167,[1]导表!$E$1:$G$65536,3,0)</f>
        <v>0</v>
      </c>
      <c r="K167" s="12">
        <v>2</v>
      </c>
      <c r="L167" s="12">
        <v>0</v>
      </c>
      <c r="M167" s="12">
        <v>3</v>
      </c>
    </row>
    <row r="168" s="12" customFormat="1" spans="1:13">
      <c r="A168" s="12">
        <v>9155621</v>
      </c>
      <c r="B168" s="12" t="s">
        <v>13</v>
      </c>
      <c r="C168" s="12">
        <v>2551871832</v>
      </c>
      <c r="D168" s="12" t="s">
        <v>153</v>
      </c>
      <c r="E168" s="12" t="s">
        <v>186</v>
      </c>
      <c r="F168" s="12">
        <v>26</v>
      </c>
      <c r="G168" s="12">
        <f>VLOOKUP(E168,[1]导表!$E$1:$G$65536,3,0)</f>
        <v>0</v>
      </c>
      <c r="K168" s="12">
        <v>2</v>
      </c>
      <c r="L168" s="12">
        <v>0</v>
      </c>
      <c r="M168" s="12">
        <v>3</v>
      </c>
    </row>
    <row r="169" spans="1:13">
      <c r="A169" s="12">
        <v>9155621</v>
      </c>
      <c r="B169" s="12" t="s">
        <v>13</v>
      </c>
      <c r="C169" s="12">
        <v>2551976116</v>
      </c>
      <c r="D169" s="12" t="s">
        <v>26</v>
      </c>
      <c r="E169" s="12" t="s">
        <v>187</v>
      </c>
      <c r="F169" s="12">
        <v>13</v>
      </c>
      <c r="G169" s="12">
        <f>VLOOKUP(E169,[1]导表!$E$1:$G$65536,3,0)</f>
        <v>15.8</v>
      </c>
      <c r="K169" s="12">
        <v>1</v>
      </c>
      <c r="L169" s="12">
        <v>0</v>
      </c>
      <c r="M169" s="12">
        <v>3</v>
      </c>
    </row>
    <row r="170" spans="1:13">
      <c r="A170" s="12">
        <v>9155621</v>
      </c>
      <c r="B170" s="12" t="s">
        <v>13</v>
      </c>
      <c r="C170" s="12">
        <v>3550128437</v>
      </c>
      <c r="D170" s="12" t="s">
        <v>19</v>
      </c>
      <c r="E170" s="12" t="s">
        <v>188</v>
      </c>
      <c r="F170" s="12">
        <v>13.8</v>
      </c>
      <c r="G170" s="12">
        <v>15.8</v>
      </c>
      <c r="H170" s="12">
        <v>8.8</v>
      </c>
      <c r="J170" s="12">
        <v>-1</v>
      </c>
      <c r="K170" s="12">
        <v>1</v>
      </c>
      <c r="L170" s="12">
        <v>0</v>
      </c>
      <c r="M170" s="12">
        <v>3</v>
      </c>
    </row>
    <row r="171" spans="1:13">
      <c r="A171" s="12">
        <v>9155621</v>
      </c>
      <c r="B171" s="12" t="s">
        <v>13</v>
      </c>
      <c r="C171" s="12">
        <v>2552088628</v>
      </c>
      <c r="D171" s="12" t="s">
        <v>50</v>
      </c>
      <c r="E171" s="12" t="s">
        <v>189</v>
      </c>
      <c r="F171" s="12">
        <v>17</v>
      </c>
      <c r="G171" s="12">
        <f>VLOOKUP(E171,[1]导表!$E$1:$G$65536,3,0)</f>
        <v>17.8</v>
      </c>
      <c r="K171" s="12">
        <v>1</v>
      </c>
      <c r="L171" s="12">
        <v>0</v>
      </c>
      <c r="M171" s="12">
        <v>3</v>
      </c>
    </row>
    <row r="172" spans="1:13">
      <c r="A172" s="12">
        <v>9155621</v>
      </c>
      <c r="B172" s="12" t="s">
        <v>13</v>
      </c>
      <c r="C172" s="12">
        <v>2551943782</v>
      </c>
      <c r="D172" s="12" t="s">
        <v>19</v>
      </c>
      <c r="E172" s="12" t="s">
        <v>190</v>
      </c>
      <c r="F172" s="12">
        <v>13</v>
      </c>
      <c r="G172" s="12">
        <v>16.8</v>
      </c>
      <c r="H172" s="12">
        <v>10.8</v>
      </c>
      <c r="J172" s="12">
        <v>-1</v>
      </c>
      <c r="K172" s="12">
        <v>1.9</v>
      </c>
      <c r="L172" s="12">
        <v>0</v>
      </c>
      <c r="M172" s="12">
        <v>3</v>
      </c>
    </row>
    <row r="173" spans="1:13">
      <c r="A173" s="12">
        <v>9155621</v>
      </c>
      <c r="B173" s="12" t="s">
        <v>13</v>
      </c>
      <c r="C173" s="12">
        <v>3821477676</v>
      </c>
      <c r="D173" s="12" t="s">
        <v>168</v>
      </c>
      <c r="E173" s="12" t="s">
        <v>191</v>
      </c>
      <c r="F173" s="12">
        <v>36</v>
      </c>
      <c r="K173" s="12">
        <v>2</v>
      </c>
      <c r="L173" s="12">
        <v>0</v>
      </c>
      <c r="M173" s="12">
        <v>2</v>
      </c>
    </row>
    <row r="174" spans="1:13">
      <c r="A174" s="12">
        <v>9155621</v>
      </c>
      <c r="B174" s="12" t="s">
        <v>13</v>
      </c>
      <c r="C174" s="12">
        <v>3821659555</v>
      </c>
      <c r="D174" s="12" t="s">
        <v>168</v>
      </c>
      <c r="E174" s="12" t="s">
        <v>38</v>
      </c>
      <c r="F174" s="12">
        <v>35</v>
      </c>
      <c r="H174" s="12">
        <v>8.8</v>
      </c>
      <c r="J174" s="12">
        <v>-1</v>
      </c>
      <c r="K174" s="12">
        <v>2</v>
      </c>
      <c r="L174" s="12">
        <v>0</v>
      </c>
      <c r="M174" s="12">
        <v>2</v>
      </c>
    </row>
    <row r="175" spans="1:13">
      <c r="A175" s="12">
        <v>9155621</v>
      </c>
      <c r="B175" s="12" t="s">
        <v>13</v>
      </c>
      <c r="C175" s="12">
        <v>3224168120</v>
      </c>
      <c r="D175" s="12" t="s">
        <v>19</v>
      </c>
      <c r="E175" s="12" t="s">
        <v>192</v>
      </c>
      <c r="F175" s="12">
        <v>13.8</v>
      </c>
      <c r="G175" s="12">
        <v>16.8</v>
      </c>
      <c r="H175" s="12">
        <v>11.8</v>
      </c>
      <c r="J175" s="12">
        <v>-1</v>
      </c>
      <c r="K175" s="12">
        <v>1</v>
      </c>
      <c r="L175" s="12">
        <v>0</v>
      </c>
      <c r="M175" s="12">
        <v>2</v>
      </c>
    </row>
    <row r="176" spans="1:13">
      <c r="A176" s="12">
        <v>9155621</v>
      </c>
      <c r="B176" s="12" t="s">
        <v>13</v>
      </c>
      <c r="C176" s="12">
        <v>2551871810</v>
      </c>
      <c r="D176" s="12" t="s">
        <v>63</v>
      </c>
      <c r="E176" s="12" t="s">
        <v>193</v>
      </c>
      <c r="F176" s="12">
        <v>14</v>
      </c>
      <c r="G176" s="12">
        <f>VLOOKUP(E176,[1]导表!$E$1:$G$65536,3,0)</f>
        <v>14.8</v>
      </c>
      <c r="K176" s="12">
        <v>1</v>
      </c>
      <c r="L176" s="12">
        <v>0</v>
      </c>
      <c r="M176" s="12">
        <v>2</v>
      </c>
    </row>
    <row r="177" spans="1:13">
      <c r="A177" s="12">
        <v>9155621</v>
      </c>
      <c r="B177" s="12" t="s">
        <v>13</v>
      </c>
      <c r="C177" s="12">
        <v>3821550620</v>
      </c>
      <c r="D177" s="12" t="s">
        <v>168</v>
      </c>
      <c r="E177" s="12" t="s">
        <v>194</v>
      </c>
      <c r="F177" s="12">
        <v>41</v>
      </c>
      <c r="K177" s="12">
        <v>2</v>
      </c>
      <c r="L177" s="12">
        <v>0</v>
      </c>
      <c r="M177" s="12">
        <v>1</v>
      </c>
    </row>
    <row r="178" spans="1:13">
      <c r="A178" s="12">
        <v>9155621</v>
      </c>
      <c r="B178" s="12" t="s">
        <v>13</v>
      </c>
      <c r="C178" s="12">
        <v>3821550621</v>
      </c>
      <c r="D178" s="12" t="s">
        <v>168</v>
      </c>
      <c r="E178" s="12" t="s">
        <v>195</v>
      </c>
      <c r="F178" s="12">
        <v>39</v>
      </c>
      <c r="K178" s="12">
        <v>2</v>
      </c>
      <c r="L178" s="12">
        <v>0</v>
      </c>
      <c r="M178" s="12">
        <v>1</v>
      </c>
    </row>
    <row r="179" spans="1:13">
      <c r="A179" s="12">
        <v>9155621</v>
      </c>
      <c r="B179" s="12" t="s">
        <v>13</v>
      </c>
      <c r="C179" s="12">
        <v>3821743012</v>
      </c>
      <c r="D179" s="12" t="s">
        <v>168</v>
      </c>
      <c r="E179" s="12" t="s">
        <v>196</v>
      </c>
      <c r="F179" s="12">
        <v>31.9</v>
      </c>
      <c r="K179" s="12">
        <v>2.5</v>
      </c>
      <c r="L179" s="12">
        <v>0</v>
      </c>
      <c r="M179" s="12">
        <v>1</v>
      </c>
    </row>
    <row r="180" spans="1:13">
      <c r="A180" s="12">
        <v>9155621</v>
      </c>
      <c r="B180" s="12" t="s">
        <v>13</v>
      </c>
      <c r="C180" s="12">
        <v>3821743015</v>
      </c>
      <c r="D180" s="12" t="s">
        <v>168</v>
      </c>
      <c r="E180" s="12" t="s">
        <v>197</v>
      </c>
      <c r="F180" s="12">
        <v>45</v>
      </c>
      <c r="K180" s="12">
        <v>2</v>
      </c>
      <c r="L180" s="12">
        <v>0</v>
      </c>
      <c r="M180" s="12">
        <v>1</v>
      </c>
    </row>
    <row r="181" spans="1:13">
      <c r="A181" s="12">
        <v>9155621</v>
      </c>
      <c r="B181" s="12" t="s">
        <v>13</v>
      </c>
      <c r="C181" s="12">
        <v>2551976183</v>
      </c>
      <c r="D181" s="12" t="s">
        <v>136</v>
      </c>
      <c r="E181" s="12" t="s">
        <v>198</v>
      </c>
      <c r="F181" s="12">
        <v>14</v>
      </c>
      <c r="G181" s="12">
        <f>VLOOKUP(E181,[1]导表!$E$1:$G$65536,3,0)</f>
        <v>14.8</v>
      </c>
      <c r="K181" s="12">
        <v>1</v>
      </c>
      <c r="L181" s="12">
        <v>0</v>
      </c>
      <c r="M181" s="12">
        <v>1</v>
      </c>
    </row>
    <row r="182" spans="1:13">
      <c r="A182" s="12">
        <v>9155621</v>
      </c>
      <c r="B182" s="12" t="s">
        <v>13</v>
      </c>
      <c r="C182" s="12">
        <v>3683410824</v>
      </c>
      <c r="D182" s="12" t="s">
        <v>19</v>
      </c>
      <c r="E182" s="12" t="s">
        <v>199</v>
      </c>
      <c r="F182" s="12">
        <v>13.8</v>
      </c>
      <c r="G182" s="12">
        <v>14.8</v>
      </c>
      <c r="H182" s="12">
        <v>8.8</v>
      </c>
      <c r="J182" s="12">
        <v>-1</v>
      </c>
      <c r="K182" s="12">
        <v>1</v>
      </c>
      <c r="L182" s="12">
        <v>0</v>
      </c>
      <c r="M182" s="12">
        <v>1</v>
      </c>
    </row>
    <row r="183" spans="1:13">
      <c r="A183" s="12">
        <v>9155621</v>
      </c>
      <c r="B183" s="12" t="s">
        <v>13</v>
      </c>
      <c r="C183" s="12">
        <v>3347417029</v>
      </c>
      <c r="D183" s="12" t="s">
        <v>110</v>
      </c>
      <c r="E183" s="12" t="s">
        <v>200</v>
      </c>
      <c r="F183" s="12">
        <v>29.6</v>
      </c>
      <c r="H183" s="12">
        <v>14.8</v>
      </c>
      <c r="J183" s="12">
        <v>-1</v>
      </c>
      <c r="K183" s="12">
        <v>2</v>
      </c>
      <c r="L183" s="12">
        <v>0</v>
      </c>
      <c r="M183" s="12">
        <v>1</v>
      </c>
    </row>
    <row r="184" spans="1:13">
      <c r="A184" s="12">
        <v>9155621</v>
      </c>
      <c r="B184" s="12" t="s">
        <v>13</v>
      </c>
      <c r="C184" s="12">
        <v>3347308364</v>
      </c>
      <c r="D184" s="12" t="s">
        <v>110</v>
      </c>
      <c r="E184" s="12" t="s">
        <v>201</v>
      </c>
      <c r="F184" s="12">
        <v>29.6</v>
      </c>
      <c r="H184" s="12">
        <v>14.8</v>
      </c>
      <c r="J184" s="12">
        <v>-1</v>
      </c>
      <c r="K184" s="12">
        <v>2</v>
      </c>
      <c r="L184" s="12">
        <v>0</v>
      </c>
      <c r="M184" s="12">
        <v>1</v>
      </c>
    </row>
    <row r="185" spans="1:13">
      <c r="A185" s="12">
        <v>9155621</v>
      </c>
      <c r="B185" s="12" t="s">
        <v>13</v>
      </c>
      <c r="C185" s="12">
        <v>3821628716</v>
      </c>
      <c r="D185" s="12" t="s">
        <v>168</v>
      </c>
      <c r="E185" s="12" t="s">
        <v>202</v>
      </c>
      <c r="F185" s="12">
        <v>35</v>
      </c>
      <c r="K185" s="12">
        <v>2</v>
      </c>
      <c r="L185" s="12">
        <v>0</v>
      </c>
      <c r="M185" s="12">
        <v>0</v>
      </c>
    </row>
    <row r="186" spans="1:13">
      <c r="A186" s="12">
        <v>9155621</v>
      </c>
      <c r="B186" s="12" t="s">
        <v>13</v>
      </c>
      <c r="C186" s="12">
        <v>3821659554</v>
      </c>
      <c r="D186" s="12" t="s">
        <v>168</v>
      </c>
      <c r="E186" s="12" t="s">
        <v>203</v>
      </c>
      <c r="F186" s="12">
        <v>42</v>
      </c>
      <c r="K186" s="12">
        <v>2</v>
      </c>
      <c r="L186" s="12">
        <v>0</v>
      </c>
      <c r="M186" s="12">
        <v>0</v>
      </c>
    </row>
    <row r="187" spans="1:13">
      <c r="A187" s="12">
        <v>9155621</v>
      </c>
      <c r="B187" s="12" t="s">
        <v>13</v>
      </c>
      <c r="C187" s="12">
        <v>2551943762</v>
      </c>
      <c r="D187" s="12" t="s">
        <v>116</v>
      </c>
      <c r="E187" s="12" t="s">
        <v>204</v>
      </c>
      <c r="F187" s="12">
        <v>17</v>
      </c>
      <c r="G187" s="12">
        <f>VLOOKUP(E187,[1]导表!$E$1:$G$65536,3,0)</f>
        <v>17.8</v>
      </c>
      <c r="K187" s="12">
        <v>1</v>
      </c>
      <c r="L187" s="12">
        <v>0</v>
      </c>
      <c r="M187" s="12">
        <v>0</v>
      </c>
    </row>
    <row r="188" spans="1:13">
      <c r="A188" s="12">
        <v>9155621</v>
      </c>
      <c r="B188" s="12" t="s">
        <v>13</v>
      </c>
      <c r="C188" s="12">
        <v>3408813150</v>
      </c>
      <c r="D188" s="12" t="s">
        <v>19</v>
      </c>
      <c r="E188" s="12" t="s">
        <v>205</v>
      </c>
      <c r="F188" s="12">
        <v>19.89</v>
      </c>
      <c r="H188" s="12">
        <v>16.8</v>
      </c>
      <c r="J188" s="12">
        <v>1</v>
      </c>
      <c r="K188" s="12">
        <v>1</v>
      </c>
      <c r="L188" s="12">
        <v>0</v>
      </c>
      <c r="M188" s="12">
        <v>0</v>
      </c>
    </row>
    <row r="189" spans="1:13">
      <c r="A189" s="12">
        <v>9155621</v>
      </c>
      <c r="B189" s="12" t="s">
        <v>13</v>
      </c>
      <c r="C189" s="12">
        <v>3356910288</v>
      </c>
      <c r="D189" s="12" t="s">
        <v>19</v>
      </c>
      <c r="E189" s="12" t="s">
        <v>206</v>
      </c>
      <c r="F189" s="12">
        <v>13.8</v>
      </c>
      <c r="H189" s="12">
        <v>0.01</v>
      </c>
      <c r="J189" s="12">
        <v>1</v>
      </c>
      <c r="K189" s="12">
        <v>1.5</v>
      </c>
      <c r="L189" s="12">
        <v>0</v>
      </c>
      <c r="M189" s="12">
        <v>0</v>
      </c>
    </row>
  </sheetData>
  <autoFilter ref="A1:P189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2"/>
  <sheetViews>
    <sheetView tabSelected="1" workbookViewId="0">
      <selection activeCell="K10" sqref="K10"/>
    </sheetView>
  </sheetViews>
  <sheetFormatPr defaultColWidth="10.875" defaultRowHeight="12.75"/>
  <cols>
    <col min="1" max="3" width="20.5" style="2" customWidth="1"/>
    <col min="4" max="6" width="8.375" style="3" customWidth="1"/>
    <col min="7" max="8" width="10" style="3" customWidth="1"/>
    <col min="9" max="16384" width="10.875" style="4"/>
  </cols>
  <sheetData>
    <row r="1" s="1" customFormat="1" spans="1:9">
      <c r="A1" s="5" t="s">
        <v>207</v>
      </c>
      <c r="B1" s="5" t="s">
        <v>208</v>
      </c>
      <c r="C1" s="5" t="s">
        <v>209</v>
      </c>
      <c r="D1" s="5" t="s">
        <v>210</v>
      </c>
      <c r="E1" s="6" t="s">
        <v>211</v>
      </c>
      <c r="F1" s="6" t="s">
        <v>212</v>
      </c>
      <c r="G1" s="6" t="s">
        <v>213</v>
      </c>
      <c r="H1" s="6" t="s">
        <v>214</v>
      </c>
      <c r="I1" s="6" t="s">
        <v>215</v>
      </c>
    </row>
    <row r="2" s="1" customFormat="1" ht="75.95" customHeight="1" spans="1:9">
      <c r="A2" s="7" t="s">
        <v>216</v>
      </c>
      <c r="B2" s="8" t="s">
        <v>217</v>
      </c>
      <c r="C2" s="8" t="s">
        <v>218</v>
      </c>
      <c r="D2" s="8" t="s">
        <v>219</v>
      </c>
      <c r="E2" s="9" t="s">
        <v>220</v>
      </c>
      <c r="F2" s="9" t="s">
        <v>220</v>
      </c>
      <c r="G2" s="9" t="s">
        <v>221</v>
      </c>
      <c r="H2" s="9"/>
      <c r="I2" s="9"/>
    </row>
    <row r="3" spans="1:8">
      <c r="A3" s="10">
        <v>9100878</v>
      </c>
      <c r="B3" s="10" t="s">
        <v>222</v>
      </c>
      <c r="C3" s="10" t="s">
        <v>223</v>
      </c>
      <c r="D3" s="11">
        <v>12.8</v>
      </c>
      <c r="E3" s="11"/>
      <c r="F3" s="11"/>
      <c r="G3" s="11"/>
      <c r="H3" s="11"/>
    </row>
    <row r="4" spans="1:8">
      <c r="A4" s="10">
        <v>9100878</v>
      </c>
      <c r="B4" s="10" t="s">
        <v>224</v>
      </c>
      <c r="C4" s="10" t="s">
        <v>225</v>
      </c>
      <c r="D4" s="11">
        <v>12.8</v>
      </c>
      <c r="E4" s="11"/>
      <c r="F4" s="11"/>
      <c r="G4" s="11"/>
      <c r="H4" s="11">
        <v>9.8</v>
      </c>
    </row>
    <row r="5" spans="1:8">
      <c r="A5" s="10">
        <v>9100878</v>
      </c>
      <c r="B5" s="10" t="s">
        <v>226</v>
      </c>
      <c r="C5" s="10" t="s">
        <v>227</v>
      </c>
      <c r="D5" s="11">
        <v>12.8</v>
      </c>
      <c r="E5" s="11"/>
      <c r="F5" s="11"/>
      <c r="G5" s="11"/>
      <c r="H5" s="11">
        <v>11.8</v>
      </c>
    </row>
    <row r="6" spans="1:8">
      <c r="A6" s="10">
        <v>9100878</v>
      </c>
      <c r="B6" s="10" t="s">
        <v>224</v>
      </c>
      <c r="C6" s="10" t="s">
        <v>228</v>
      </c>
      <c r="D6" s="11">
        <v>12.8</v>
      </c>
      <c r="E6" s="11"/>
      <c r="F6" s="11"/>
      <c r="G6" s="11"/>
      <c r="H6" s="11">
        <v>11.9</v>
      </c>
    </row>
    <row r="7" spans="1:8">
      <c r="A7" s="10">
        <v>9100878</v>
      </c>
      <c r="B7" s="10" t="s">
        <v>226</v>
      </c>
      <c r="C7" s="10" t="s">
        <v>229</v>
      </c>
      <c r="D7" s="11">
        <v>12.8</v>
      </c>
      <c r="E7" s="11"/>
      <c r="F7" s="11"/>
      <c r="G7" s="11"/>
      <c r="H7" s="11">
        <v>9.8</v>
      </c>
    </row>
    <row r="8" spans="1:8">
      <c r="A8" s="10">
        <v>9100878</v>
      </c>
      <c r="B8" s="10" t="s">
        <v>230</v>
      </c>
      <c r="C8" s="10" t="s">
        <v>231</v>
      </c>
      <c r="D8" s="11">
        <v>12.8</v>
      </c>
      <c r="E8" s="11"/>
      <c r="F8" s="11"/>
      <c r="G8" s="11"/>
      <c r="H8" s="11">
        <v>9.8</v>
      </c>
    </row>
    <row r="9" spans="1:8">
      <c r="A9" s="10">
        <v>9100878</v>
      </c>
      <c r="B9" s="10" t="s">
        <v>230</v>
      </c>
      <c r="C9" s="10" t="s">
        <v>232</v>
      </c>
      <c r="D9" s="11">
        <v>12.8</v>
      </c>
      <c r="E9" s="11"/>
      <c r="F9" s="11"/>
      <c r="G9" s="11"/>
      <c r="H9" s="11">
        <v>8.9</v>
      </c>
    </row>
    <row r="10" spans="1:8">
      <c r="A10" s="10">
        <v>9100878</v>
      </c>
      <c r="B10" s="10" t="s">
        <v>233</v>
      </c>
      <c r="C10" s="10" t="s">
        <v>234</v>
      </c>
      <c r="D10" s="11">
        <v>12.8</v>
      </c>
      <c r="E10" s="11"/>
      <c r="F10" s="11"/>
      <c r="G10" s="11"/>
      <c r="H10" s="11">
        <v>10.9</v>
      </c>
    </row>
    <row r="11" spans="1:8">
      <c r="A11" s="10">
        <v>9100878</v>
      </c>
      <c r="B11" s="10" t="s">
        <v>233</v>
      </c>
      <c r="C11" s="10" t="s">
        <v>41</v>
      </c>
      <c r="D11" s="11">
        <v>12.8</v>
      </c>
      <c r="E11" s="11"/>
      <c r="F11" s="11"/>
      <c r="G11" s="11"/>
      <c r="H11" s="11">
        <v>9.8</v>
      </c>
    </row>
    <row r="12" spans="1:8">
      <c r="A12" s="10">
        <v>9100878</v>
      </c>
      <c r="B12" s="10" t="s">
        <v>23</v>
      </c>
      <c r="C12" s="10" t="s">
        <v>41</v>
      </c>
      <c r="D12" s="11">
        <v>12.8</v>
      </c>
      <c r="E12" s="11"/>
      <c r="F12" s="11"/>
      <c r="G12" s="11"/>
      <c r="H12" s="11">
        <v>9.8</v>
      </c>
    </row>
    <row r="13" spans="1:8">
      <c r="A13" s="10">
        <v>9100878</v>
      </c>
      <c r="B13" s="10" t="s">
        <v>23</v>
      </c>
      <c r="C13" s="10" t="s">
        <v>235</v>
      </c>
      <c r="D13" s="11">
        <v>12.8</v>
      </c>
      <c r="E13" s="11"/>
      <c r="F13" s="11"/>
      <c r="G13" s="11"/>
      <c r="H13" s="11"/>
    </row>
    <row r="14" spans="1:8">
      <c r="A14" s="10">
        <v>9100878</v>
      </c>
      <c r="B14" s="10" t="s">
        <v>14</v>
      </c>
      <c r="C14" s="10" t="s">
        <v>229</v>
      </c>
      <c r="D14" s="11">
        <v>12.8</v>
      </c>
      <c r="E14" s="11"/>
      <c r="F14" s="11"/>
      <c r="G14" s="11"/>
      <c r="H14" s="11">
        <v>9.8</v>
      </c>
    </row>
    <row r="15" ht="24" spans="1:8">
      <c r="A15" s="10">
        <v>9100878</v>
      </c>
      <c r="B15" s="10" t="s">
        <v>14</v>
      </c>
      <c r="C15" s="10" t="s">
        <v>236</v>
      </c>
      <c r="D15" s="11">
        <v>13.9</v>
      </c>
      <c r="E15" s="11"/>
      <c r="F15" s="11"/>
      <c r="G15" s="11"/>
      <c r="H15" s="11">
        <v>12.9</v>
      </c>
    </row>
    <row r="16" spans="1:8">
      <c r="A16" s="10">
        <v>9100878</v>
      </c>
      <c r="B16" s="10" t="s">
        <v>14</v>
      </c>
      <c r="C16" s="10" t="s">
        <v>237</v>
      </c>
      <c r="D16" s="11">
        <v>12.9</v>
      </c>
      <c r="E16" s="11"/>
      <c r="F16" s="11"/>
      <c r="G16" s="11"/>
      <c r="H16" s="11">
        <v>3.99</v>
      </c>
    </row>
    <row r="17" spans="1:8">
      <c r="A17" s="10">
        <v>9100878</v>
      </c>
      <c r="B17" s="10" t="s">
        <v>14</v>
      </c>
      <c r="C17" s="10" t="s">
        <v>238</v>
      </c>
      <c r="D17" s="11">
        <v>12.8</v>
      </c>
      <c r="E17" s="11"/>
      <c r="F17" s="11"/>
      <c r="G17" s="11"/>
      <c r="H17" s="11">
        <v>0.01</v>
      </c>
    </row>
    <row r="18" spans="1:8">
      <c r="A18" s="2">
        <v>9100878</v>
      </c>
      <c r="B18" s="2" t="s">
        <v>14</v>
      </c>
      <c r="C18" s="2" t="s">
        <v>239</v>
      </c>
      <c r="D18" s="3">
        <v>12</v>
      </c>
      <c r="H18" s="3">
        <v>1.99</v>
      </c>
    </row>
    <row r="19" ht="24" spans="1:8">
      <c r="A19" s="2">
        <v>9100878</v>
      </c>
      <c r="B19" s="2" t="s">
        <v>240</v>
      </c>
      <c r="C19" s="2" t="s">
        <v>241</v>
      </c>
      <c r="D19" s="3">
        <v>13.8</v>
      </c>
      <c r="H19" s="3">
        <v>12.9</v>
      </c>
    </row>
    <row r="20" ht="24" spans="1:8">
      <c r="A20" s="2">
        <v>9100878</v>
      </c>
      <c r="B20" s="2" t="s">
        <v>240</v>
      </c>
      <c r="C20" s="2" t="s">
        <v>242</v>
      </c>
      <c r="D20" s="3">
        <v>13.8</v>
      </c>
      <c r="H20" s="3">
        <v>12.9</v>
      </c>
    </row>
    <row r="21" ht="24" spans="1:8">
      <c r="A21" s="2">
        <v>9100878</v>
      </c>
      <c r="B21" s="2" t="s">
        <v>243</v>
      </c>
      <c r="C21" s="2" t="s">
        <v>244</v>
      </c>
      <c r="D21" s="3">
        <v>13.8</v>
      </c>
      <c r="H21" s="3">
        <v>12.8</v>
      </c>
    </row>
    <row r="22" ht="24" spans="1:8">
      <c r="A22" s="2">
        <v>9100878</v>
      </c>
      <c r="B22" s="2" t="s">
        <v>243</v>
      </c>
      <c r="C22" s="2" t="s">
        <v>245</v>
      </c>
      <c r="D22" s="3">
        <v>13.8</v>
      </c>
      <c r="H22" s="3">
        <v>12.8</v>
      </c>
    </row>
  </sheetData>
  <autoFilter ref="A2:I22">
    <extLst/>
  </autoFilter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美团导出菜单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2021-04-14T03:52:07Z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99BBA58DF7DE4B47B0EF560F37BB09D0</vt:lpwstr>
  </property>
  <property fmtid="{D5CDD505-2E9C-101B-9397-08002B2CF9AE}" pid="3" name="KSOProductBuildVer">
    <vt:lpwstr>2052-11.1.0.10356</vt:lpwstr>
  </property>
</Properties>
</file>